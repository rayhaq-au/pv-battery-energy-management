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Load_Profile_15min" sheetId="2" state="visible" r:id="rId2"/>
    <sheet xmlns:r="http://schemas.openxmlformats.org/officeDocument/2006/relationships" name="Simulink_Import_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#,##0.0"/>
    <numFmt numFmtId="167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1B365D"/>
      <sz val="13"/>
    </font>
    <font>
      <name val="Segoe UI"/>
      <b val="1"/>
      <sz val="10"/>
    </font>
    <font>
      <name val="Segoe UI"/>
      <i val="1"/>
      <color rgb="00666666"/>
      <sz val="9"/>
    </font>
    <font>
      <name val="Consolas"/>
      <b val="1"/>
      <color rgb="00003366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2A4D69"/>
        <bgColor rgb="002A4D69"/>
      </patternFill>
    </fill>
    <fill>
      <patternFill patternType="solid">
        <fgColor rgb="00E3EDF7"/>
        <bgColor rgb="00E3EDF7"/>
      </patternFill>
    </fill>
    <fill>
      <patternFill patternType="solid">
        <fgColor rgb="00F4F7FA"/>
        <bgColor rgb="00F4F7FA"/>
      </patternFill>
    </fill>
    <fill>
      <patternFill patternType="solid">
        <fgColor rgb="00335580"/>
        <bgColor rgb="00335580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5" borderId="1" pivotButton="0" quotePrefix="0" xfId="0"/>
    <xf numFmtId="0" fontId="2" fillId="0" borderId="1" pivotButton="0" quotePrefix="0" xfId="0"/>
    <xf numFmtId="0" fontId="6" fillId="6" borderId="1" pivotButton="0" quotePrefix="0" xfId="0"/>
    <xf numFmtId="2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6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pivotButton="0" quotePrefix="0" xfId="0"/>
    <xf numFmtId="165" fontId="2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30" customWidth="1" min="4" max="4"/>
    <col width="16" customWidth="1" min="5" max="5"/>
    <col width="16" customWidth="1" min="6" max="6"/>
  </cols>
  <sheetData>
    <row r="1">
      <c r="A1" s="1" t="inlineStr">
        <is>
          <t>PV-BESS Energy Management System</t>
        </is>
      </c>
    </row>
    <row r="2">
      <c r="A2" s="2" t="inlineStr">
        <is>
          <t>Measured Household Load Profile Template (15-Minute Resolution | Nov 10–16, 2025)</t>
        </is>
      </c>
    </row>
    <row r="4">
      <c r="A4" s="3" t="inlineStr">
        <is>
          <t>1. Dataset Specifications &amp; Setup</t>
        </is>
      </c>
      <c r="D4" s="3" t="inlineStr">
        <is>
          <t>2. Key Profile Metrics (Dynamic Formulas)</t>
        </is>
      </c>
    </row>
    <row r="5">
      <c r="A5" s="4" t="inlineStr">
        <is>
          <t>Target Week</t>
        </is>
      </c>
      <c r="B5" s="5" t="inlineStr">
        <is>
          <t>Monday, Nov 10, 2025 00:00 – Sunday, Nov 16, 2025 23:45</t>
        </is>
      </c>
      <c r="D5" s="6" t="inlineStr">
        <is>
          <t>Total Weekly Energy Consumption</t>
        </is>
      </c>
      <c r="E5" s="7">
        <f>SUM(Load_Profile_15min!I2:I673)</f>
        <v/>
      </c>
      <c r="F5" s="8" t="inlineStr">
        <is>
          <t>kWh</t>
        </is>
      </c>
    </row>
    <row r="6">
      <c r="A6" s="4" t="inlineStr">
        <is>
          <t>Data Resolution / Time Step</t>
        </is>
      </c>
      <c r="B6" s="5" t="inlineStr">
        <is>
          <t>15 Minutes (900 seconds)</t>
        </is>
      </c>
      <c r="D6" s="6" t="inlineStr">
        <is>
          <t>Average Active Load</t>
        </is>
      </c>
      <c r="E6" s="31">
        <f>AVERAGE(Load_Profile_15min!H2:H673)</f>
        <v/>
      </c>
      <c r="F6" s="8" t="inlineStr">
        <is>
          <t>kW</t>
        </is>
      </c>
    </row>
    <row r="7">
      <c r="A7" s="4" t="inlineStr">
        <is>
          <t>Total Time Steps</t>
        </is>
      </c>
      <c r="B7" s="5" t="inlineStr">
        <is>
          <t>672 intervals (7 days × 24 hrs × 4 intervals/hr)</t>
        </is>
      </c>
      <c r="D7" s="6" t="inlineStr">
        <is>
          <t>Peak Maximum Load</t>
        </is>
      </c>
      <c r="E7" s="31">
        <f>MAX(Load_Profile_15min!H2:H673)</f>
        <v/>
      </c>
      <c r="F7" s="8" t="inlineStr">
        <is>
          <t>kW</t>
        </is>
      </c>
    </row>
    <row r="8">
      <c r="A8" s="4" t="inlineStr">
        <is>
          <t>PV Generation Alignment</t>
        </is>
      </c>
      <c r="B8" s="5" t="inlineStr">
        <is>
          <t>Synchronized timestamps with actual PV generation dataset</t>
        </is>
      </c>
      <c r="D8" s="6" t="inlineStr">
        <is>
          <t>Minimum Basal Load</t>
        </is>
      </c>
      <c r="E8" s="31">
        <f>MIN(Load_Profile_15min!H2:H673)</f>
        <v/>
      </c>
      <c r="F8" s="8" t="inlineStr">
        <is>
          <t>kW</t>
        </is>
      </c>
    </row>
    <row r="9">
      <c r="A9" s="4" t="inlineStr">
        <is>
          <t>Measurement Units</t>
        </is>
      </c>
      <c r="B9" s="5" t="inlineStr">
        <is>
          <t>Active Power in kW (Load_Profile_15min) &amp; W (Simulink sheet)</t>
        </is>
      </c>
      <c r="D9" s="6" t="inlineStr">
        <is>
          <t>Total Data Points Recorded</t>
        </is>
      </c>
      <c r="E9" s="10">
        <f>COUNT(Load_Profile_15min!H2:H673)</f>
        <v/>
      </c>
      <c r="F9" s="8" t="inlineStr">
        <is>
          <t>count</t>
        </is>
      </c>
    </row>
    <row r="10">
      <c r="A10" s="4" t="inlineStr">
        <is>
          <t>Simulink Compatibility</t>
        </is>
      </c>
      <c r="B10" s="5" t="inlineStr">
        <is>
          <t>MATLAB timetable / 2D Matrix [time, load] ready for 'From Workspace' block</t>
        </is>
      </c>
      <c r="D10" s="6" t="inlineStr">
        <is>
          <t>Initial Meter Reading (Nov 10 00:00)</t>
        </is>
      </c>
      <c r="E10" s="32" t="n">
        <v>14850</v>
      </c>
      <c r="F10" s="33" t="inlineStr">
        <is>
          <t>kWh</t>
        </is>
      </c>
    </row>
    <row r="11">
      <c r="D11" s="6" t="inlineStr">
        <is>
          <t>Final Meter Reading (Nov 16 23:45)</t>
        </is>
      </c>
      <c r="E11" s="32">
        <f>Load_Profile_15min!J673</f>
        <v/>
      </c>
      <c r="F11" s="33" t="inlineStr">
        <is>
          <t>kWh</t>
        </is>
      </c>
    </row>
    <row r="13">
      <c r="A13" s="3" t="inlineStr">
        <is>
          <t>3. Daily Consumption Breakdown</t>
        </is>
      </c>
    </row>
    <row r="14">
      <c r="A14" s="11" t="inlineStr">
        <is>
          <t>Date</t>
        </is>
      </c>
      <c r="B14" s="11" t="inlineStr">
        <is>
          <t>Day</t>
        </is>
      </c>
      <c r="C14" s="11" t="inlineStr">
        <is>
          <t>Row Range</t>
        </is>
      </c>
      <c r="D14" s="11" t="inlineStr">
        <is>
          <t>Total Energy (kWh)</t>
        </is>
      </c>
      <c r="E14" s="11" t="inlineStr">
        <is>
          <t>Peak Demand (kW)</t>
        </is>
      </c>
      <c r="F14" s="11" t="inlineStr">
        <is>
          <t>Average Load (kW)</t>
        </is>
      </c>
    </row>
    <row r="15">
      <c r="A15" s="12" t="inlineStr">
        <is>
          <t>2025-11-10</t>
        </is>
      </c>
      <c r="B15" s="12" t="inlineStr">
        <is>
          <t>Monday</t>
        </is>
      </c>
      <c r="C15" s="12" t="inlineStr">
        <is>
          <t>H2:H97</t>
        </is>
      </c>
      <c r="D15" s="13">
        <f>SUM(Load_Profile_15min!I2:I97)</f>
        <v/>
      </c>
      <c r="E15" s="34">
        <f>MAX(Load_Profile_15min!H2:H97)</f>
        <v/>
      </c>
      <c r="F15" s="34">
        <f>AVERAGE(Load_Profile_15min!H2:H97)</f>
        <v/>
      </c>
    </row>
    <row r="16">
      <c r="A16" s="15" t="inlineStr">
        <is>
          <t>2025-11-11</t>
        </is>
      </c>
      <c r="B16" s="15" t="inlineStr">
        <is>
          <t>Tuesday</t>
        </is>
      </c>
      <c r="C16" s="15" t="inlineStr">
        <is>
          <t>H98:H193</t>
        </is>
      </c>
      <c r="D16" s="16">
        <f>SUM(Load_Profile_15min!I98:I193)</f>
        <v/>
      </c>
      <c r="E16" s="35">
        <f>MAX(Load_Profile_15min!H98:H193)</f>
        <v/>
      </c>
      <c r="F16" s="35">
        <f>AVERAGE(Load_Profile_15min!H98:H193)</f>
        <v/>
      </c>
    </row>
    <row r="17">
      <c r="A17" s="12" t="inlineStr">
        <is>
          <t>2025-11-12</t>
        </is>
      </c>
      <c r="B17" s="12" t="inlineStr">
        <is>
          <t>Wednesday</t>
        </is>
      </c>
      <c r="C17" s="12" t="inlineStr">
        <is>
          <t>H194:H289</t>
        </is>
      </c>
      <c r="D17" s="13">
        <f>SUM(Load_Profile_15min!I194:I289)</f>
        <v/>
      </c>
      <c r="E17" s="34">
        <f>MAX(Load_Profile_15min!H194:H289)</f>
        <v/>
      </c>
      <c r="F17" s="34">
        <f>AVERAGE(Load_Profile_15min!H194:H289)</f>
        <v/>
      </c>
    </row>
    <row r="18">
      <c r="A18" s="15" t="inlineStr">
        <is>
          <t>2025-11-13</t>
        </is>
      </c>
      <c r="B18" s="15" t="inlineStr">
        <is>
          <t>Thursday</t>
        </is>
      </c>
      <c r="C18" s="15" t="inlineStr">
        <is>
          <t>H290:H385</t>
        </is>
      </c>
      <c r="D18" s="16">
        <f>SUM(Load_Profile_15min!I290:I385)</f>
        <v/>
      </c>
      <c r="E18" s="35">
        <f>MAX(Load_Profile_15min!H290:H385)</f>
        <v/>
      </c>
      <c r="F18" s="35">
        <f>AVERAGE(Load_Profile_15min!H290:H385)</f>
        <v/>
      </c>
    </row>
    <row r="19">
      <c r="A19" s="12" t="inlineStr">
        <is>
          <t>2025-11-14</t>
        </is>
      </c>
      <c r="B19" s="12" t="inlineStr">
        <is>
          <t>Friday</t>
        </is>
      </c>
      <c r="C19" s="12" t="inlineStr">
        <is>
          <t>H386:H481</t>
        </is>
      </c>
      <c r="D19" s="13">
        <f>SUM(Load_Profile_15min!I386:I481)</f>
        <v/>
      </c>
      <c r="E19" s="34">
        <f>MAX(Load_Profile_15min!H386:H481)</f>
        <v/>
      </c>
      <c r="F19" s="34">
        <f>AVERAGE(Load_Profile_15min!H386:H481)</f>
        <v/>
      </c>
    </row>
    <row r="20">
      <c r="A20" s="15" t="inlineStr">
        <is>
          <t>2025-11-15</t>
        </is>
      </c>
      <c r="B20" s="15" t="inlineStr">
        <is>
          <t>Saturday</t>
        </is>
      </c>
      <c r="C20" s="15" t="inlineStr">
        <is>
          <t>H482:H577</t>
        </is>
      </c>
      <c r="D20" s="16">
        <f>SUM(Load_Profile_15min!I482:I577)</f>
        <v/>
      </c>
      <c r="E20" s="35">
        <f>MAX(Load_Profile_15min!H482:H577)</f>
        <v/>
      </c>
      <c r="F20" s="35">
        <f>AVERAGE(Load_Profile_15min!H482:H577)</f>
        <v/>
      </c>
    </row>
    <row r="21">
      <c r="A21" s="12" t="inlineStr">
        <is>
          <t>2025-11-16</t>
        </is>
      </c>
      <c r="B21" s="12" t="inlineStr">
        <is>
          <t>Sunday</t>
        </is>
      </c>
      <c r="C21" s="12" t="inlineStr">
        <is>
          <t>H578:H673</t>
        </is>
      </c>
      <c r="D21" s="13">
        <f>SUM(Load_Profile_15min!I578:I673)</f>
        <v/>
      </c>
      <c r="E21" s="34">
        <f>MAX(Load_Profile_15min!H578:H673)</f>
        <v/>
      </c>
      <c r="F21" s="34">
        <f>AVERAGE(Load_Profile_15min!H578:H673)</f>
        <v/>
      </c>
    </row>
    <row r="22">
      <c r="A22" s="18" t="inlineStr">
        <is>
          <t>Full Week Total / Extremes</t>
        </is>
      </c>
      <c r="B22" s="19" t="inlineStr">
        <is>
          <t>7 Days</t>
        </is>
      </c>
      <c r="C22" s="19" t="inlineStr">
        <is>
          <t>H2:H673</t>
        </is>
      </c>
      <c r="D22" s="20">
        <f>SUM(D15:D21)</f>
        <v/>
      </c>
      <c r="E22" s="36">
        <f>MAX(E15:E21)</f>
        <v/>
      </c>
      <c r="F22" s="36">
        <f>AVERAGE(Load_Profile_15min!H2:H673)</f>
        <v/>
      </c>
    </row>
    <row r="24">
      <c r="A24" s="3" t="inlineStr">
        <is>
          <t>4. Simulink PV-BESS Integration Instructions</t>
        </is>
      </c>
    </row>
    <row r="25">
      <c r="A25" s="22" t="inlineStr">
        <is>
          <t>Step 1: Paste your smart meter active power readings (in kW) directly into Column H of 'Load_Profile_15min'.</t>
        </is>
      </c>
    </row>
    <row r="26">
      <c r="A26" s="22" t="inlineStr">
        <is>
          <t>Step 2: 'Simulink_Import_Format' tab automatically populates with timestamps in seconds and loads in kW and Watts.</t>
        </is>
      </c>
    </row>
    <row r="27">
      <c r="A27" s="22" t="inlineStr">
        <is>
          <t>Step 3 (MATLAB): Import the data into your MATLAB base workspace via script:</t>
        </is>
      </c>
    </row>
    <row r="28">
      <c r="A28" s="23" t="inlineStr">
        <is>
          <t xml:space="preserve">       &gt;&gt; load_raw = readmatrix('PV_BESS_Household_Load_Profile_Nov2025.xlsx', 'Sheet', 'Simulink_Import_Format');</t>
        </is>
      </c>
    </row>
    <row r="29">
      <c r="A29" s="23" t="inlineStr">
        <is>
          <t xml:space="preserve">       &gt;&gt; time_sec = load_raw(2:end, 1);  % 0 to 603,900 s</t>
        </is>
      </c>
    </row>
    <row r="30">
      <c r="A30" s="23" t="inlineStr">
        <is>
          <t xml:space="preserve">       &gt;&gt; P_load_kW = load_raw(2:end, 3); % Active load in kW</t>
        </is>
      </c>
    </row>
    <row r="31">
      <c r="A31" s="23" t="inlineStr">
        <is>
          <t xml:space="preserve">       &gt;&gt; load_profile = timeseries(P_load_kW, time_sec);</t>
        </is>
      </c>
    </row>
    <row r="32">
      <c r="A32" s="22" t="inlineStr">
        <is>
          <t>Step 4 (Simulink): In your BESS Energy Management model, add a 'From Workspace' block with Data parameter set to 'load_profile'.</t>
        </is>
      </c>
    </row>
    <row r="33">
      <c r="A33" s="22" t="inlineStr">
        <is>
          <t>Step 5 (Alignment): Ensure your PV Generation block uses the identical time vector (900 s step size over 603,900 s total).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7" customWidth="1" min="5" max="5"/>
    <col width="20" customWidth="1" min="6" max="6"/>
    <col width="20" customWidth="1" min="7" max="7"/>
    <col width="30" customWidth="1" min="8" max="8"/>
    <col width="25" customWidth="1" min="9" max="9"/>
    <col width="24" customWidth="1" min="10" max="10"/>
    <col width="22" customWidth="1" min="11" max="11"/>
    <col width="38" customWidth="1" min="12" max="12"/>
  </cols>
  <sheetData>
    <row r="1" ht="28" customHeight="1">
      <c r="A1" s="24" t="inlineStr">
        <is>
          <t>Timestamp</t>
        </is>
      </c>
      <c r="B1" s="24" t="inlineStr">
        <is>
          <t>Date</t>
        </is>
      </c>
      <c r="C1" s="24" t="inlineStr">
        <is>
          <t>Time</t>
        </is>
      </c>
      <c r="D1" s="24" t="inlineStr">
        <is>
          <t>Day of Week</t>
        </is>
      </c>
      <c r="E1" s="24" t="inlineStr">
        <is>
          <t>Time Step (k)</t>
        </is>
      </c>
      <c r="F1" s="24" t="inlineStr">
        <is>
          <t>Elapsed Time (s)</t>
        </is>
      </c>
      <c r="G1" s="24" t="inlineStr">
        <is>
          <t>Elapsed Time (h)</t>
        </is>
      </c>
      <c r="H1" s="24" t="inlineStr">
        <is>
          <t>Measured Active Power [kW]</t>
        </is>
      </c>
      <c r="I1" s="24" t="inlineStr">
        <is>
          <t>Interval Energy [kWh]</t>
        </is>
      </c>
      <c r="J1" s="24" t="inlineStr">
        <is>
          <t>Smart Meter Cumulative [kWh]</t>
        </is>
      </c>
      <c r="K1" s="24" t="inlineStr">
        <is>
          <t>Measurement Status / Quality</t>
        </is>
      </c>
      <c r="L1" s="24" t="inlineStr">
        <is>
          <t>Recorded Household Activity / Appliance Events</t>
        </is>
      </c>
    </row>
    <row r="2">
      <c r="A2" s="15" t="inlineStr">
        <is>
          <t>2025-11-10 00:00:00</t>
        </is>
      </c>
      <c r="B2" s="15" t="inlineStr">
        <is>
          <t>2025-11-10</t>
        </is>
      </c>
      <c r="C2" s="15" t="inlineStr">
        <is>
          <t>00:00</t>
        </is>
      </c>
      <c r="D2" s="15" t="inlineStr">
        <is>
          <t>Monday</t>
        </is>
      </c>
      <c r="E2" s="15" t="n">
        <v>0</v>
      </c>
      <c r="F2" s="25" t="n">
        <v>0</v>
      </c>
      <c r="G2" s="25" t="n">
        <v>0</v>
      </c>
      <c r="H2" s="37" t="n">
        <v>0.548</v>
      </c>
      <c r="I2" s="38">
        <f>H2*0.25</f>
        <v/>
      </c>
      <c r="J2" s="35" t="n">
        <v>14850.137</v>
      </c>
      <c r="K2" s="15" t="inlineStr">
        <is>
          <t>Valid (Smart Meter)</t>
        </is>
      </c>
      <c r="L2" s="26" t="inlineStr">
        <is>
          <t>Night baseload / Heating</t>
        </is>
      </c>
    </row>
    <row r="3">
      <c r="A3" s="15" t="inlineStr">
        <is>
          <t>2025-11-10 00:15:00</t>
        </is>
      </c>
      <c r="B3" s="15" t="inlineStr">
        <is>
          <t>2025-11-10</t>
        </is>
      </c>
      <c r="C3" s="15" t="inlineStr">
        <is>
          <t>00:15</t>
        </is>
      </c>
      <c r="D3" s="15" t="inlineStr">
        <is>
          <t>Monday</t>
        </is>
      </c>
      <c r="E3" s="15" t="n">
        <v>1</v>
      </c>
      <c r="F3" s="25" t="n">
        <v>900</v>
      </c>
      <c r="G3" s="25" t="n">
        <v>0.25</v>
      </c>
      <c r="H3" s="37" t="n">
        <v>0.634</v>
      </c>
      <c r="I3" s="38">
        <f>H3*0.25</f>
        <v/>
      </c>
      <c r="J3" s="35">
        <f>J2+I3</f>
        <v/>
      </c>
      <c r="K3" s="15" t="inlineStr">
        <is>
          <t>Valid (Smart Meter)</t>
        </is>
      </c>
      <c r="L3" s="26" t="inlineStr">
        <is>
          <t>Night baseload / Heating</t>
        </is>
      </c>
    </row>
    <row r="4">
      <c r="A4" s="15" t="inlineStr">
        <is>
          <t>2025-11-10 00:30:00</t>
        </is>
      </c>
      <c r="B4" s="15" t="inlineStr">
        <is>
          <t>2025-11-10</t>
        </is>
      </c>
      <c r="C4" s="15" t="inlineStr">
        <is>
          <t>00:30</t>
        </is>
      </c>
      <c r="D4" s="15" t="inlineStr">
        <is>
          <t>Monday</t>
        </is>
      </c>
      <c r="E4" s="15" t="n">
        <v>2</v>
      </c>
      <c r="F4" s="25" t="n">
        <v>1800</v>
      </c>
      <c r="G4" s="25" t="n">
        <v>0.5</v>
      </c>
      <c r="H4" s="37" t="n">
        <v>0.663</v>
      </c>
      <c r="I4" s="38">
        <f>H4*0.25</f>
        <v/>
      </c>
      <c r="J4" s="35">
        <f>J3+I4</f>
        <v/>
      </c>
      <c r="K4" s="15" t="inlineStr">
        <is>
          <t>Valid (Smart Meter)</t>
        </is>
      </c>
      <c r="L4" s="26" t="inlineStr">
        <is>
          <t>Night baseload / Heating</t>
        </is>
      </c>
    </row>
    <row r="5">
      <c r="A5" s="15" t="inlineStr">
        <is>
          <t>2025-11-10 00:45:00</t>
        </is>
      </c>
      <c r="B5" s="15" t="inlineStr">
        <is>
          <t>2025-11-10</t>
        </is>
      </c>
      <c r="C5" s="15" t="inlineStr">
        <is>
          <t>00:45</t>
        </is>
      </c>
      <c r="D5" s="15" t="inlineStr">
        <is>
          <t>Monday</t>
        </is>
      </c>
      <c r="E5" s="15" t="n">
        <v>3</v>
      </c>
      <c r="F5" s="25" t="n">
        <v>2700</v>
      </c>
      <c r="G5" s="25" t="n">
        <v>0.75</v>
      </c>
      <c r="H5" s="37" t="n">
        <v>0.758</v>
      </c>
      <c r="I5" s="38">
        <f>H5*0.25</f>
        <v/>
      </c>
      <c r="J5" s="35">
        <f>J4+I5</f>
        <v/>
      </c>
      <c r="K5" s="15" t="inlineStr">
        <is>
          <t>Valid (Smart Meter)</t>
        </is>
      </c>
      <c r="L5" s="26" t="inlineStr">
        <is>
          <t>Night baseload / Heating</t>
        </is>
      </c>
    </row>
    <row r="6">
      <c r="A6" s="12" t="inlineStr">
        <is>
          <t>2025-11-10 01:00:00</t>
        </is>
      </c>
      <c r="B6" s="12" t="inlineStr">
        <is>
          <t>2025-11-10</t>
        </is>
      </c>
      <c r="C6" s="12" t="inlineStr">
        <is>
          <t>01:00</t>
        </is>
      </c>
      <c r="D6" s="12" t="inlineStr">
        <is>
          <t>Monday</t>
        </is>
      </c>
      <c r="E6" s="12" t="n">
        <v>4</v>
      </c>
      <c r="F6" s="27" t="n">
        <v>3600</v>
      </c>
      <c r="G6" s="27" t="n">
        <v>1</v>
      </c>
      <c r="H6" s="39" t="n">
        <v>0.667</v>
      </c>
      <c r="I6" s="40">
        <f>H6*0.25</f>
        <v/>
      </c>
      <c r="J6" s="34">
        <f>J5+I6</f>
        <v/>
      </c>
      <c r="K6" s="12" t="inlineStr">
        <is>
          <t>Valid (Smart Meter)</t>
        </is>
      </c>
      <c r="L6" s="28" t="inlineStr">
        <is>
          <t>Night baseload / Heating</t>
        </is>
      </c>
    </row>
    <row r="7">
      <c r="A7" s="12" t="inlineStr">
        <is>
          <t>2025-11-10 01:15:00</t>
        </is>
      </c>
      <c r="B7" s="12" t="inlineStr">
        <is>
          <t>2025-11-10</t>
        </is>
      </c>
      <c r="C7" s="12" t="inlineStr">
        <is>
          <t>01:15</t>
        </is>
      </c>
      <c r="D7" s="12" t="inlineStr">
        <is>
          <t>Monday</t>
        </is>
      </c>
      <c r="E7" s="12" t="n">
        <v>5</v>
      </c>
      <c r="F7" s="27" t="n">
        <v>4500</v>
      </c>
      <c r="G7" s="27" t="n">
        <v>1.25</v>
      </c>
      <c r="H7" s="39" t="n">
        <v>0.679</v>
      </c>
      <c r="I7" s="40">
        <f>H7*0.25</f>
        <v/>
      </c>
      <c r="J7" s="34">
        <f>J6+I7</f>
        <v/>
      </c>
      <c r="K7" s="12" t="inlineStr">
        <is>
          <t>Valid (Smart Meter)</t>
        </is>
      </c>
      <c r="L7" s="28" t="inlineStr">
        <is>
          <t>Night baseload / Heating</t>
        </is>
      </c>
    </row>
    <row r="8">
      <c r="A8" s="12" t="inlineStr">
        <is>
          <t>2025-11-10 01:30:00</t>
        </is>
      </c>
      <c r="B8" s="12" t="inlineStr">
        <is>
          <t>2025-11-10</t>
        </is>
      </c>
      <c r="C8" s="12" t="inlineStr">
        <is>
          <t>01:30</t>
        </is>
      </c>
      <c r="D8" s="12" t="inlineStr">
        <is>
          <t>Monday</t>
        </is>
      </c>
      <c r="E8" s="12" t="n">
        <v>6</v>
      </c>
      <c r="F8" s="27" t="n">
        <v>5400</v>
      </c>
      <c r="G8" s="27" t="n">
        <v>1.5</v>
      </c>
      <c r="H8" s="39" t="n">
        <v>0.59</v>
      </c>
      <c r="I8" s="40">
        <f>H8*0.25</f>
        <v/>
      </c>
      <c r="J8" s="34">
        <f>J7+I8</f>
        <v/>
      </c>
      <c r="K8" s="12" t="inlineStr">
        <is>
          <t>Valid (Smart Meter)</t>
        </is>
      </c>
      <c r="L8" s="28" t="inlineStr">
        <is>
          <t>Night baseload / Heating</t>
        </is>
      </c>
    </row>
    <row r="9">
      <c r="A9" s="12" t="inlineStr">
        <is>
          <t>2025-11-10 01:45:00</t>
        </is>
      </c>
      <c r="B9" s="12" t="inlineStr">
        <is>
          <t>2025-11-10</t>
        </is>
      </c>
      <c r="C9" s="12" t="inlineStr">
        <is>
          <t>01:45</t>
        </is>
      </c>
      <c r="D9" s="12" t="inlineStr">
        <is>
          <t>Monday</t>
        </is>
      </c>
      <c r="E9" s="12" t="n">
        <v>7</v>
      </c>
      <c r="F9" s="27" t="n">
        <v>6300</v>
      </c>
      <c r="G9" s="27" t="n">
        <v>1.75</v>
      </c>
      <c r="H9" s="39" t="n">
        <v>0.707</v>
      </c>
      <c r="I9" s="40">
        <f>H9*0.25</f>
        <v/>
      </c>
      <c r="J9" s="34">
        <f>J8+I9</f>
        <v/>
      </c>
      <c r="K9" s="12" t="inlineStr">
        <is>
          <t>Valid (Smart Meter)</t>
        </is>
      </c>
      <c r="L9" s="28" t="inlineStr">
        <is>
          <t>Night baseload / Heating</t>
        </is>
      </c>
    </row>
    <row r="10">
      <c r="A10" s="15" t="inlineStr">
        <is>
          <t>2025-11-10 02:00:00</t>
        </is>
      </c>
      <c r="B10" s="15" t="inlineStr">
        <is>
          <t>2025-11-10</t>
        </is>
      </c>
      <c r="C10" s="15" t="inlineStr">
        <is>
          <t>02:00</t>
        </is>
      </c>
      <c r="D10" s="15" t="inlineStr">
        <is>
          <t>Monday</t>
        </is>
      </c>
      <c r="E10" s="15" t="n">
        <v>8</v>
      </c>
      <c r="F10" s="25" t="n">
        <v>7200</v>
      </c>
      <c r="G10" s="25" t="n">
        <v>2</v>
      </c>
      <c r="H10" s="37" t="n">
        <v>0.64</v>
      </c>
      <c r="I10" s="38">
        <f>H10*0.25</f>
        <v/>
      </c>
      <c r="J10" s="35">
        <f>J9+I10</f>
        <v/>
      </c>
      <c r="K10" s="15" t="inlineStr">
        <is>
          <t>Valid (Smart Meter)</t>
        </is>
      </c>
      <c r="L10" s="26" t="inlineStr">
        <is>
          <t>Night baseload / Heating</t>
        </is>
      </c>
    </row>
    <row r="11">
      <c r="A11" s="15" t="inlineStr">
        <is>
          <t>2025-11-10 02:15:00</t>
        </is>
      </c>
      <c r="B11" s="15" t="inlineStr">
        <is>
          <t>2025-11-10</t>
        </is>
      </c>
      <c r="C11" s="15" t="inlineStr">
        <is>
          <t>02:15</t>
        </is>
      </c>
      <c r="D11" s="15" t="inlineStr">
        <is>
          <t>Monday</t>
        </is>
      </c>
      <c r="E11" s="15" t="n">
        <v>9</v>
      </c>
      <c r="F11" s="25" t="n">
        <v>8100</v>
      </c>
      <c r="G11" s="25" t="n">
        <v>2.25</v>
      </c>
      <c r="H11" s="37" t="n">
        <v>0.578</v>
      </c>
      <c r="I11" s="38">
        <f>H11*0.25</f>
        <v/>
      </c>
      <c r="J11" s="35">
        <f>J10+I11</f>
        <v/>
      </c>
      <c r="K11" s="15" t="inlineStr">
        <is>
          <t>Valid (Smart Meter)</t>
        </is>
      </c>
      <c r="L11" s="26" t="inlineStr">
        <is>
          <t>Night baseload / Heating</t>
        </is>
      </c>
    </row>
    <row r="12">
      <c r="A12" s="15" t="inlineStr">
        <is>
          <t>2025-11-10 02:30:00</t>
        </is>
      </c>
      <c r="B12" s="15" t="inlineStr">
        <is>
          <t>2025-11-10</t>
        </is>
      </c>
      <c r="C12" s="15" t="inlineStr">
        <is>
          <t>02:30</t>
        </is>
      </c>
      <c r="D12" s="15" t="inlineStr">
        <is>
          <t>Monday</t>
        </is>
      </c>
      <c r="E12" s="15" t="n">
        <v>10</v>
      </c>
      <c r="F12" s="25" t="n">
        <v>9000</v>
      </c>
      <c r="G12" s="25" t="n">
        <v>2.5</v>
      </c>
      <c r="H12" s="37" t="n">
        <v>0.5570000000000001</v>
      </c>
      <c r="I12" s="38">
        <f>H12*0.25</f>
        <v/>
      </c>
      <c r="J12" s="35">
        <f>J11+I12</f>
        <v/>
      </c>
      <c r="K12" s="15" t="inlineStr">
        <is>
          <t>Valid (Smart Meter)</t>
        </is>
      </c>
      <c r="L12" s="26" t="inlineStr">
        <is>
          <t>Night baseload / Heating</t>
        </is>
      </c>
    </row>
    <row r="13">
      <c r="A13" s="15" t="inlineStr">
        <is>
          <t>2025-11-10 02:45:00</t>
        </is>
      </c>
      <c r="B13" s="15" t="inlineStr">
        <is>
          <t>2025-11-10</t>
        </is>
      </c>
      <c r="C13" s="15" t="inlineStr">
        <is>
          <t>02:45</t>
        </is>
      </c>
      <c r="D13" s="15" t="inlineStr">
        <is>
          <t>Monday</t>
        </is>
      </c>
      <c r="E13" s="15" t="n">
        <v>11</v>
      </c>
      <c r="F13" s="25" t="n">
        <v>9900</v>
      </c>
      <c r="G13" s="25" t="n">
        <v>2.75</v>
      </c>
      <c r="H13" s="37" t="n">
        <v>0.586</v>
      </c>
      <c r="I13" s="38">
        <f>H13*0.25</f>
        <v/>
      </c>
      <c r="J13" s="35">
        <f>J12+I13</f>
        <v/>
      </c>
      <c r="K13" s="15" t="inlineStr">
        <is>
          <t>Valid (Smart Meter)</t>
        </is>
      </c>
      <c r="L13" s="26" t="inlineStr">
        <is>
          <t>Night baseload / Heating</t>
        </is>
      </c>
    </row>
    <row r="14">
      <c r="A14" s="12" t="inlineStr">
        <is>
          <t>2025-11-10 03:00:00</t>
        </is>
      </c>
      <c r="B14" s="12" t="inlineStr">
        <is>
          <t>2025-11-10</t>
        </is>
      </c>
      <c r="C14" s="12" t="inlineStr">
        <is>
          <t>03:00</t>
        </is>
      </c>
      <c r="D14" s="12" t="inlineStr">
        <is>
          <t>Monday</t>
        </is>
      </c>
      <c r="E14" s="12" t="n">
        <v>12</v>
      </c>
      <c r="F14" s="27" t="n">
        <v>10800</v>
      </c>
      <c r="G14" s="27" t="n">
        <v>3</v>
      </c>
      <c r="H14" s="39" t="n">
        <v>0.5590000000000001</v>
      </c>
      <c r="I14" s="40">
        <f>H14*0.25</f>
        <v/>
      </c>
      <c r="J14" s="34">
        <f>J13+I14</f>
        <v/>
      </c>
      <c r="K14" s="12" t="inlineStr">
        <is>
          <t>Valid (Smart Meter)</t>
        </is>
      </c>
      <c r="L14" s="28" t="inlineStr">
        <is>
          <t>Night baseload / Heating</t>
        </is>
      </c>
    </row>
    <row r="15">
      <c r="A15" s="12" t="inlineStr">
        <is>
          <t>2025-11-10 03:15:00</t>
        </is>
      </c>
      <c r="B15" s="12" t="inlineStr">
        <is>
          <t>2025-11-10</t>
        </is>
      </c>
      <c r="C15" s="12" t="inlineStr">
        <is>
          <t>03:15</t>
        </is>
      </c>
      <c r="D15" s="12" t="inlineStr">
        <is>
          <t>Monday</t>
        </is>
      </c>
      <c r="E15" s="12" t="n">
        <v>13</v>
      </c>
      <c r="F15" s="27" t="n">
        <v>11700</v>
      </c>
      <c r="G15" s="27" t="n">
        <v>3.25</v>
      </c>
      <c r="H15" s="39" t="n">
        <v>0.509</v>
      </c>
      <c r="I15" s="40">
        <f>H15*0.25</f>
        <v/>
      </c>
      <c r="J15" s="34">
        <f>J14+I15</f>
        <v/>
      </c>
      <c r="K15" s="12" t="inlineStr">
        <is>
          <t>Valid (Smart Meter)</t>
        </is>
      </c>
      <c r="L15" s="28" t="inlineStr">
        <is>
          <t>Night baseload / Heating</t>
        </is>
      </c>
    </row>
    <row r="16">
      <c r="A16" s="12" t="inlineStr">
        <is>
          <t>2025-11-10 03:30:00</t>
        </is>
      </c>
      <c r="B16" s="12" t="inlineStr">
        <is>
          <t>2025-11-10</t>
        </is>
      </c>
      <c r="C16" s="12" t="inlineStr">
        <is>
          <t>03:30</t>
        </is>
      </c>
      <c r="D16" s="12" t="inlineStr">
        <is>
          <t>Monday</t>
        </is>
      </c>
      <c r="E16" s="12" t="n">
        <v>14</v>
      </c>
      <c r="F16" s="27" t="n">
        <v>12600</v>
      </c>
      <c r="G16" s="27" t="n">
        <v>3.5</v>
      </c>
      <c r="H16" s="39" t="n">
        <v>0.513</v>
      </c>
      <c r="I16" s="40">
        <f>H16*0.25</f>
        <v/>
      </c>
      <c r="J16" s="34">
        <f>J15+I16</f>
        <v/>
      </c>
      <c r="K16" s="12" t="inlineStr">
        <is>
          <t>Valid (Smart Meter)</t>
        </is>
      </c>
      <c r="L16" s="28" t="inlineStr">
        <is>
          <t>Night baseload / Heating</t>
        </is>
      </c>
    </row>
    <row r="17">
      <c r="A17" s="12" t="inlineStr">
        <is>
          <t>2025-11-10 03:45:00</t>
        </is>
      </c>
      <c r="B17" s="12" t="inlineStr">
        <is>
          <t>2025-11-10</t>
        </is>
      </c>
      <c r="C17" s="12" t="inlineStr">
        <is>
          <t>03:45</t>
        </is>
      </c>
      <c r="D17" s="12" t="inlineStr">
        <is>
          <t>Monday</t>
        </is>
      </c>
      <c r="E17" s="12" t="n">
        <v>15</v>
      </c>
      <c r="F17" s="27" t="n">
        <v>13500</v>
      </c>
      <c r="G17" s="27" t="n">
        <v>3.75</v>
      </c>
      <c r="H17" s="39" t="n">
        <v>0.602</v>
      </c>
      <c r="I17" s="40">
        <f>H17*0.25</f>
        <v/>
      </c>
      <c r="J17" s="34">
        <f>J16+I17</f>
        <v/>
      </c>
      <c r="K17" s="12" t="inlineStr">
        <is>
          <t>Valid (Smart Meter)</t>
        </is>
      </c>
      <c r="L17" s="28" t="inlineStr">
        <is>
          <t>Night baseload / Heating</t>
        </is>
      </c>
    </row>
    <row r="18">
      <c r="A18" s="15" t="inlineStr">
        <is>
          <t>2025-11-10 04:00:00</t>
        </is>
      </c>
      <c r="B18" s="15" t="inlineStr">
        <is>
          <t>2025-11-10</t>
        </is>
      </c>
      <c r="C18" s="15" t="inlineStr">
        <is>
          <t>04:00</t>
        </is>
      </c>
      <c r="D18" s="15" t="inlineStr">
        <is>
          <t>Monday</t>
        </is>
      </c>
      <c r="E18" s="15" t="n">
        <v>16</v>
      </c>
      <c r="F18" s="25" t="n">
        <v>14400</v>
      </c>
      <c r="G18" s="25" t="n">
        <v>4</v>
      </c>
      <c r="H18" s="37" t="n">
        <v>0.592</v>
      </c>
      <c r="I18" s="38">
        <f>H18*0.25</f>
        <v/>
      </c>
      <c r="J18" s="35">
        <f>J17+I18</f>
        <v/>
      </c>
      <c r="K18" s="15" t="inlineStr">
        <is>
          <t>Valid (Smart Meter)</t>
        </is>
      </c>
      <c r="L18" s="26" t="inlineStr">
        <is>
          <t>Night baseload / Heating</t>
        </is>
      </c>
    </row>
    <row r="19">
      <c r="A19" s="15" t="inlineStr">
        <is>
          <t>2025-11-10 04:15:00</t>
        </is>
      </c>
      <c r="B19" s="15" t="inlineStr">
        <is>
          <t>2025-11-10</t>
        </is>
      </c>
      <c r="C19" s="15" t="inlineStr">
        <is>
          <t>04:15</t>
        </is>
      </c>
      <c r="D19" s="15" t="inlineStr">
        <is>
          <t>Monday</t>
        </is>
      </c>
      <c r="E19" s="15" t="n">
        <v>17</v>
      </c>
      <c r="F19" s="25" t="n">
        <v>15300</v>
      </c>
      <c r="G19" s="25" t="n">
        <v>4.25</v>
      </c>
      <c r="H19" s="37" t="n">
        <v>0.652</v>
      </c>
      <c r="I19" s="38">
        <f>H19*0.25</f>
        <v/>
      </c>
      <c r="J19" s="35">
        <f>J18+I19</f>
        <v/>
      </c>
      <c r="K19" s="15" t="inlineStr">
        <is>
          <t>Valid (Smart Meter)</t>
        </is>
      </c>
      <c r="L19" s="26" t="inlineStr">
        <is>
          <t>Night baseload / Heating</t>
        </is>
      </c>
    </row>
    <row r="20">
      <c r="A20" s="15" t="inlineStr">
        <is>
          <t>2025-11-10 04:30:00</t>
        </is>
      </c>
      <c r="B20" s="15" t="inlineStr">
        <is>
          <t>2025-11-10</t>
        </is>
      </c>
      <c r="C20" s="15" t="inlineStr">
        <is>
          <t>04:30</t>
        </is>
      </c>
      <c r="D20" s="15" t="inlineStr">
        <is>
          <t>Monday</t>
        </is>
      </c>
      <c r="E20" s="15" t="n">
        <v>18</v>
      </c>
      <c r="F20" s="25" t="n">
        <v>16200</v>
      </c>
      <c r="G20" s="25" t="n">
        <v>4.5</v>
      </c>
      <c r="H20" s="37" t="n">
        <v>0.657</v>
      </c>
      <c r="I20" s="38">
        <f>H20*0.25</f>
        <v/>
      </c>
      <c r="J20" s="35">
        <f>J19+I20</f>
        <v/>
      </c>
      <c r="K20" s="15" t="inlineStr">
        <is>
          <t>Valid (Smart Meter)</t>
        </is>
      </c>
      <c r="L20" s="26" t="inlineStr">
        <is>
          <t>Night baseload / Heating</t>
        </is>
      </c>
    </row>
    <row r="21">
      <c r="A21" s="15" t="inlineStr">
        <is>
          <t>2025-11-10 04:45:00</t>
        </is>
      </c>
      <c r="B21" s="15" t="inlineStr">
        <is>
          <t>2025-11-10</t>
        </is>
      </c>
      <c r="C21" s="15" t="inlineStr">
        <is>
          <t>04:45</t>
        </is>
      </c>
      <c r="D21" s="15" t="inlineStr">
        <is>
          <t>Monday</t>
        </is>
      </c>
      <c r="E21" s="15" t="n">
        <v>19</v>
      </c>
      <c r="F21" s="25" t="n">
        <v>17100</v>
      </c>
      <c r="G21" s="25" t="n">
        <v>4.75</v>
      </c>
      <c r="H21" s="37" t="n">
        <v>0.747</v>
      </c>
      <c r="I21" s="38">
        <f>H21*0.25</f>
        <v/>
      </c>
      <c r="J21" s="35">
        <f>J20+I21</f>
        <v/>
      </c>
      <c r="K21" s="15" t="inlineStr">
        <is>
          <t>Valid (Smart Meter)</t>
        </is>
      </c>
      <c r="L21" s="26" t="inlineStr">
        <is>
          <t>Night baseload / Heating</t>
        </is>
      </c>
    </row>
    <row r="22">
      <c r="A22" s="12" t="inlineStr">
        <is>
          <t>2025-11-10 05:00:00</t>
        </is>
      </c>
      <c r="B22" s="12" t="inlineStr">
        <is>
          <t>2025-11-10</t>
        </is>
      </c>
      <c r="C22" s="12" t="inlineStr">
        <is>
          <t>05:00</t>
        </is>
      </c>
      <c r="D22" s="12" t="inlineStr">
        <is>
          <t>Monday</t>
        </is>
      </c>
      <c r="E22" s="12" t="n">
        <v>20</v>
      </c>
      <c r="F22" s="27" t="n">
        <v>18000</v>
      </c>
      <c r="G22" s="27" t="n">
        <v>5</v>
      </c>
      <c r="H22" s="39" t="n">
        <v>0.839</v>
      </c>
      <c r="I22" s="40">
        <f>H22*0.25</f>
        <v/>
      </c>
      <c r="J22" s="34">
        <f>J21+I22</f>
        <v/>
      </c>
      <c r="K22" s="12" t="inlineStr">
        <is>
          <t>Valid (Smart Meter)</t>
        </is>
      </c>
      <c r="L22" s="28" t="inlineStr">
        <is>
          <t>Night baseload / Heating</t>
        </is>
      </c>
    </row>
    <row r="23">
      <c r="A23" s="12" t="inlineStr">
        <is>
          <t>2025-11-10 05:15:00</t>
        </is>
      </c>
      <c r="B23" s="12" t="inlineStr">
        <is>
          <t>2025-11-10</t>
        </is>
      </c>
      <c r="C23" s="12" t="inlineStr">
        <is>
          <t>05:15</t>
        </is>
      </c>
      <c r="D23" s="12" t="inlineStr">
        <is>
          <t>Monday</t>
        </is>
      </c>
      <c r="E23" s="12" t="n">
        <v>21</v>
      </c>
      <c r="F23" s="27" t="n">
        <v>18900</v>
      </c>
      <c r="G23" s="27" t="n">
        <v>5.25</v>
      </c>
      <c r="H23" s="39" t="n">
        <v>0.772</v>
      </c>
      <c r="I23" s="40">
        <f>H23*0.25</f>
        <v/>
      </c>
      <c r="J23" s="34">
        <f>J22+I23</f>
        <v/>
      </c>
      <c r="K23" s="12" t="inlineStr">
        <is>
          <t>Valid (Smart Meter)</t>
        </is>
      </c>
      <c r="L23" s="28" t="inlineStr">
        <is>
          <t>Night baseload / Heating</t>
        </is>
      </c>
    </row>
    <row r="24">
      <c r="A24" s="12" t="inlineStr">
        <is>
          <t>2025-11-10 05:30:00</t>
        </is>
      </c>
      <c r="B24" s="12" t="inlineStr">
        <is>
          <t>2025-11-10</t>
        </is>
      </c>
      <c r="C24" s="12" t="inlineStr">
        <is>
          <t>05:30</t>
        </is>
      </c>
      <c r="D24" s="12" t="inlineStr">
        <is>
          <t>Monday</t>
        </is>
      </c>
      <c r="E24" s="12" t="n">
        <v>22</v>
      </c>
      <c r="F24" s="27" t="n">
        <v>19800</v>
      </c>
      <c r="G24" s="27" t="n">
        <v>5.5</v>
      </c>
      <c r="H24" s="39" t="n">
        <v>0.77</v>
      </c>
      <c r="I24" s="40">
        <f>H24*0.25</f>
        <v/>
      </c>
      <c r="J24" s="34">
        <f>J23+I24</f>
        <v/>
      </c>
      <c r="K24" s="12" t="inlineStr">
        <is>
          <t>Valid (Smart Meter)</t>
        </is>
      </c>
      <c r="L24" s="28" t="inlineStr">
        <is>
          <t>Night baseload / Heating</t>
        </is>
      </c>
    </row>
    <row r="25">
      <c r="A25" s="12" t="inlineStr">
        <is>
          <t>2025-11-10 05:45:00</t>
        </is>
      </c>
      <c r="B25" s="12" t="inlineStr">
        <is>
          <t>2025-11-10</t>
        </is>
      </c>
      <c r="C25" s="12" t="inlineStr">
        <is>
          <t>05:45</t>
        </is>
      </c>
      <c r="D25" s="12" t="inlineStr">
        <is>
          <t>Monday</t>
        </is>
      </c>
      <c r="E25" s="12" t="n">
        <v>23</v>
      </c>
      <c r="F25" s="27" t="n">
        <v>20700</v>
      </c>
      <c r="G25" s="27" t="n">
        <v>5.75</v>
      </c>
      <c r="H25" s="39" t="n">
        <v>0.77</v>
      </c>
      <c r="I25" s="40">
        <f>H25*0.25</f>
        <v/>
      </c>
      <c r="J25" s="34">
        <f>J24+I25</f>
        <v/>
      </c>
      <c r="K25" s="12" t="inlineStr">
        <is>
          <t>Valid (Smart Meter)</t>
        </is>
      </c>
      <c r="L25" s="28" t="inlineStr">
        <is>
          <t>Night baseload / Heating</t>
        </is>
      </c>
    </row>
    <row r="26">
      <c r="A26" s="15" t="inlineStr">
        <is>
          <t>2025-11-10 06:00:00</t>
        </is>
      </c>
      <c r="B26" s="15" t="inlineStr">
        <is>
          <t>2025-11-10</t>
        </is>
      </c>
      <c r="C26" s="15" t="inlineStr">
        <is>
          <t>06:00</t>
        </is>
      </c>
      <c r="D26" s="15" t="inlineStr">
        <is>
          <t>Monday</t>
        </is>
      </c>
      <c r="E26" s="15" t="n">
        <v>24</v>
      </c>
      <c r="F26" s="25" t="n">
        <v>21600</v>
      </c>
      <c r="G26" s="25" t="n">
        <v>6</v>
      </c>
      <c r="H26" s="37" t="n">
        <v>0.61</v>
      </c>
      <c r="I26" s="38">
        <f>H26*0.25</f>
        <v/>
      </c>
      <c r="J26" s="35">
        <f>J25+I26</f>
        <v/>
      </c>
      <c r="K26" s="15" t="inlineStr">
        <is>
          <t>Valid (Smart Meter)</t>
        </is>
      </c>
      <c r="L26" s="26" t="inlineStr">
        <is>
          <t>Night baseload / Heating</t>
        </is>
      </c>
    </row>
    <row r="27">
      <c r="A27" s="15" t="inlineStr">
        <is>
          <t>2025-11-10 06:15:00</t>
        </is>
      </c>
      <c r="B27" s="15" t="inlineStr">
        <is>
          <t>2025-11-10</t>
        </is>
      </c>
      <c r="C27" s="15" t="inlineStr">
        <is>
          <t>06:15</t>
        </is>
      </c>
      <c r="D27" s="15" t="inlineStr">
        <is>
          <t>Monday</t>
        </is>
      </c>
      <c r="E27" s="15" t="n">
        <v>25</v>
      </c>
      <c r="F27" s="25" t="n">
        <v>22500</v>
      </c>
      <c r="G27" s="25" t="n">
        <v>6.25</v>
      </c>
      <c r="H27" s="37" t="n">
        <v>0.5580000000000001</v>
      </c>
      <c r="I27" s="38">
        <f>H27*0.25</f>
        <v/>
      </c>
      <c r="J27" s="35">
        <f>J26+I27</f>
        <v/>
      </c>
      <c r="K27" s="15" t="inlineStr">
        <is>
          <t>Valid (Smart Meter)</t>
        </is>
      </c>
      <c r="L27" s="26" t="inlineStr">
        <is>
          <t>Night baseload / Heating</t>
        </is>
      </c>
    </row>
    <row r="28">
      <c r="A28" s="15" t="inlineStr">
        <is>
          <t>2025-11-10 06:30:00</t>
        </is>
      </c>
      <c r="B28" s="15" t="inlineStr">
        <is>
          <t>2025-11-10</t>
        </is>
      </c>
      <c r="C28" s="15" t="inlineStr">
        <is>
          <t>06:30</t>
        </is>
      </c>
      <c r="D28" s="15" t="inlineStr">
        <is>
          <t>Monday</t>
        </is>
      </c>
      <c r="E28" s="15" t="n">
        <v>26</v>
      </c>
      <c r="F28" s="25" t="n">
        <v>23400</v>
      </c>
      <c r="G28" s="25" t="n">
        <v>6.5</v>
      </c>
      <c r="H28" s="37" t="n">
        <v>1.634</v>
      </c>
      <c r="I28" s="38">
        <f>H28*0.25</f>
        <v/>
      </c>
      <c r="J28" s="35">
        <f>J27+I28</f>
        <v/>
      </c>
      <c r="K28" s="15" t="inlineStr">
        <is>
          <t>Valid (Smart Meter)</t>
        </is>
      </c>
      <c r="L28" s="26" t="inlineStr">
        <is>
          <t>Morning routine (Kettle/Toaster/Lighting)</t>
        </is>
      </c>
    </row>
    <row r="29">
      <c r="A29" s="15" t="inlineStr">
        <is>
          <t>2025-11-10 06:45:00</t>
        </is>
      </c>
      <c r="B29" s="15" t="inlineStr">
        <is>
          <t>2025-11-10</t>
        </is>
      </c>
      <c r="C29" s="15" t="inlineStr">
        <is>
          <t>06:45</t>
        </is>
      </c>
      <c r="D29" s="15" t="inlineStr">
        <is>
          <t>Monday</t>
        </is>
      </c>
      <c r="E29" s="15" t="n">
        <v>27</v>
      </c>
      <c r="F29" s="25" t="n">
        <v>24300</v>
      </c>
      <c r="G29" s="25" t="n">
        <v>6.75</v>
      </c>
      <c r="H29" s="37" t="n">
        <v>1.606</v>
      </c>
      <c r="I29" s="38">
        <f>H29*0.25</f>
        <v/>
      </c>
      <c r="J29" s="35">
        <f>J28+I29</f>
        <v/>
      </c>
      <c r="K29" s="15" t="inlineStr">
        <is>
          <t>Valid (Smart Meter)</t>
        </is>
      </c>
      <c r="L29" s="26" t="inlineStr">
        <is>
          <t>Morning routine (Kettle/Toaster/Lighting)</t>
        </is>
      </c>
    </row>
    <row r="30">
      <c r="A30" s="12" t="inlineStr">
        <is>
          <t>2025-11-10 07:00:00</t>
        </is>
      </c>
      <c r="B30" s="12" t="inlineStr">
        <is>
          <t>2025-11-10</t>
        </is>
      </c>
      <c r="C30" s="12" t="inlineStr">
        <is>
          <t>07:00</t>
        </is>
      </c>
      <c r="D30" s="12" t="inlineStr">
        <is>
          <t>Monday</t>
        </is>
      </c>
      <c r="E30" s="12" t="n">
        <v>28</v>
      </c>
      <c r="F30" s="27" t="n">
        <v>25200</v>
      </c>
      <c r="G30" s="27" t="n">
        <v>7</v>
      </c>
      <c r="H30" s="39" t="n">
        <v>3.366</v>
      </c>
      <c r="I30" s="40">
        <f>H30*0.25</f>
        <v/>
      </c>
      <c r="J30" s="34">
        <f>J29+I30</f>
        <v/>
      </c>
      <c r="K30" s="12" t="inlineStr">
        <is>
          <t>Valid (Smart Meter)</t>
        </is>
      </c>
      <c r="L30" s="28" t="inlineStr">
        <is>
          <t>Breakfast &amp; Water heater cycle</t>
        </is>
      </c>
    </row>
    <row r="31">
      <c r="A31" s="12" t="inlineStr">
        <is>
          <t>2025-11-10 07:15:00</t>
        </is>
      </c>
      <c r="B31" s="12" t="inlineStr">
        <is>
          <t>2025-11-10</t>
        </is>
      </c>
      <c r="C31" s="12" t="inlineStr">
        <is>
          <t>07:15</t>
        </is>
      </c>
      <c r="D31" s="12" t="inlineStr">
        <is>
          <t>Monday</t>
        </is>
      </c>
      <c r="E31" s="12" t="n">
        <v>29</v>
      </c>
      <c r="F31" s="27" t="n">
        <v>26100</v>
      </c>
      <c r="G31" s="27" t="n">
        <v>7.25</v>
      </c>
      <c r="H31" s="39" t="n">
        <v>3.127</v>
      </c>
      <c r="I31" s="40">
        <f>H31*0.25</f>
        <v/>
      </c>
      <c r="J31" s="34">
        <f>J30+I31</f>
        <v/>
      </c>
      <c r="K31" s="12" t="inlineStr">
        <is>
          <t>Valid (Smart Meter)</t>
        </is>
      </c>
      <c r="L31" s="28" t="inlineStr">
        <is>
          <t>Breakfast &amp; Water heater cycle</t>
        </is>
      </c>
    </row>
    <row r="32">
      <c r="A32" s="12" t="inlineStr">
        <is>
          <t>2025-11-10 07:30:00</t>
        </is>
      </c>
      <c r="B32" s="12" t="inlineStr">
        <is>
          <t>2025-11-10</t>
        </is>
      </c>
      <c r="C32" s="12" t="inlineStr">
        <is>
          <t>07:30</t>
        </is>
      </c>
      <c r="D32" s="12" t="inlineStr">
        <is>
          <t>Monday</t>
        </is>
      </c>
      <c r="E32" s="12" t="n">
        <v>30</v>
      </c>
      <c r="F32" s="27" t="n">
        <v>27000</v>
      </c>
      <c r="G32" s="27" t="n">
        <v>7.5</v>
      </c>
      <c r="H32" s="39" t="n">
        <v>3.036</v>
      </c>
      <c r="I32" s="40">
        <f>H32*0.25</f>
        <v/>
      </c>
      <c r="J32" s="34">
        <f>J31+I32</f>
        <v/>
      </c>
      <c r="K32" s="12" t="inlineStr">
        <is>
          <t>Valid (Smart Meter)</t>
        </is>
      </c>
      <c r="L32" s="28" t="inlineStr">
        <is>
          <t>Breakfast &amp; Water heater cycle</t>
        </is>
      </c>
    </row>
    <row r="33">
      <c r="A33" s="12" t="inlineStr">
        <is>
          <t>2025-11-10 07:45:00</t>
        </is>
      </c>
      <c r="B33" s="12" t="inlineStr">
        <is>
          <t>2025-11-10</t>
        </is>
      </c>
      <c r="C33" s="12" t="inlineStr">
        <is>
          <t>07:45</t>
        </is>
      </c>
      <c r="D33" s="12" t="inlineStr">
        <is>
          <t>Monday</t>
        </is>
      </c>
      <c r="E33" s="12" t="n">
        <v>31</v>
      </c>
      <c r="F33" s="27" t="n">
        <v>27900</v>
      </c>
      <c r="G33" s="27" t="n">
        <v>7.75</v>
      </c>
      <c r="H33" s="39" t="n">
        <v>1.414</v>
      </c>
      <c r="I33" s="40">
        <f>H33*0.25</f>
        <v/>
      </c>
      <c r="J33" s="34">
        <f>J32+I33</f>
        <v/>
      </c>
      <c r="K33" s="12" t="inlineStr">
        <is>
          <t>Valid (Smart Meter)</t>
        </is>
      </c>
      <c r="L33" s="28" t="inlineStr">
        <is>
          <t>Morning routine (Kettle/Toaster/Lighting)</t>
        </is>
      </c>
    </row>
    <row r="34">
      <c r="A34" s="15" t="inlineStr">
        <is>
          <t>2025-11-10 08:00:00</t>
        </is>
      </c>
      <c r="B34" s="15" t="inlineStr">
        <is>
          <t>2025-11-10</t>
        </is>
      </c>
      <c r="C34" s="15" t="inlineStr">
        <is>
          <t>08:00</t>
        </is>
      </c>
      <c r="D34" s="15" t="inlineStr">
        <is>
          <t>Monday</t>
        </is>
      </c>
      <c r="E34" s="15" t="n">
        <v>32</v>
      </c>
      <c r="F34" s="25" t="n">
        <v>28800</v>
      </c>
      <c r="G34" s="25" t="n">
        <v>8</v>
      </c>
      <c r="H34" s="37" t="n">
        <v>1.54</v>
      </c>
      <c r="I34" s="38">
        <f>H34*0.25</f>
        <v/>
      </c>
      <c r="J34" s="35">
        <f>J33+I34</f>
        <v/>
      </c>
      <c r="K34" s="15" t="inlineStr">
        <is>
          <t>Valid (Smart Meter)</t>
        </is>
      </c>
      <c r="L34" s="26" t="inlineStr">
        <is>
          <t>Morning routine (Kettle/Toaster/Lighting)</t>
        </is>
      </c>
    </row>
    <row r="35">
      <c r="A35" s="15" t="inlineStr">
        <is>
          <t>2025-11-10 08:15:00</t>
        </is>
      </c>
      <c r="B35" s="15" t="inlineStr">
        <is>
          <t>2025-11-10</t>
        </is>
      </c>
      <c r="C35" s="15" t="inlineStr">
        <is>
          <t>08:15</t>
        </is>
      </c>
      <c r="D35" s="15" t="inlineStr">
        <is>
          <t>Monday</t>
        </is>
      </c>
      <c r="E35" s="15" t="n">
        <v>33</v>
      </c>
      <c r="F35" s="25" t="n">
        <v>29700</v>
      </c>
      <c r="G35" s="25" t="n">
        <v>8.25</v>
      </c>
      <c r="H35" s="37" t="n">
        <v>1.344</v>
      </c>
      <c r="I35" s="38">
        <f>H35*0.25</f>
        <v/>
      </c>
      <c r="J35" s="35">
        <f>J34+I35</f>
        <v/>
      </c>
      <c r="K35" s="15" t="inlineStr">
        <is>
          <t>Valid (Smart Meter)</t>
        </is>
      </c>
      <c r="L35" s="26" t="inlineStr">
        <is>
          <t>Morning routine (Kettle/Toaster/Lighting)</t>
        </is>
      </c>
    </row>
    <row r="36">
      <c r="A36" s="15" t="inlineStr">
        <is>
          <t>2025-11-10 08:30:00</t>
        </is>
      </c>
      <c r="B36" s="15" t="inlineStr">
        <is>
          <t>2025-11-10</t>
        </is>
      </c>
      <c r="C36" s="15" t="inlineStr">
        <is>
          <t>08:30</t>
        </is>
      </c>
      <c r="D36" s="15" t="inlineStr">
        <is>
          <t>Monday</t>
        </is>
      </c>
      <c r="E36" s="15" t="n">
        <v>34</v>
      </c>
      <c r="F36" s="25" t="n">
        <v>30600</v>
      </c>
      <c r="G36" s="25" t="n">
        <v>8.5</v>
      </c>
      <c r="H36" s="37" t="n">
        <v>1.602</v>
      </c>
      <c r="I36" s="38">
        <f>H36*0.25</f>
        <v/>
      </c>
      <c r="J36" s="35">
        <f>J35+I36</f>
        <v/>
      </c>
      <c r="K36" s="15" t="inlineStr">
        <is>
          <t>Valid (Smart Meter)</t>
        </is>
      </c>
      <c r="L36" s="26" t="inlineStr">
        <is>
          <t>Morning routine (Kettle/Toaster/Lighting)</t>
        </is>
      </c>
    </row>
    <row r="37">
      <c r="A37" s="15" t="inlineStr">
        <is>
          <t>2025-11-10 08:45:00</t>
        </is>
      </c>
      <c r="B37" s="15" t="inlineStr">
        <is>
          <t>2025-11-10</t>
        </is>
      </c>
      <c r="C37" s="15" t="inlineStr">
        <is>
          <t>08:45</t>
        </is>
      </c>
      <c r="D37" s="15" t="inlineStr">
        <is>
          <t>Monday</t>
        </is>
      </c>
      <c r="E37" s="15" t="n">
        <v>35</v>
      </c>
      <c r="F37" s="25" t="n">
        <v>31500</v>
      </c>
      <c r="G37" s="25" t="n">
        <v>8.75</v>
      </c>
      <c r="H37" s="37" t="n">
        <v>0.624</v>
      </c>
      <c r="I37" s="38">
        <f>H37*0.25</f>
        <v/>
      </c>
      <c r="J37" s="35">
        <f>J36+I37</f>
        <v/>
      </c>
      <c r="K37" s="15" t="inlineStr">
        <is>
          <t>Valid (Smart Meter)</t>
        </is>
      </c>
      <c r="L37" s="26" t="inlineStr">
        <is>
          <t>Daytime low activity / Home office</t>
        </is>
      </c>
    </row>
    <row r="38">
      <c r="A38" s="12" t="inlineStr">
        <is>
          <t>2025-11-10 09:00:00</t>
        </is>
      </c>
      <c r="B38" s="12" t="inlineStr">
        <is>
          <t>2025-11-10</t>
        </is>
      </c>
      <c r="C38" s="12" t="inlineStr">
        <is>
          <t>09:00</t>
        </is>
      </c>
      <c r="D38" s="12" t="inlineStr">
        <is>
          <t>Monday</t>
        </is>
      </c>
      <c r="E38" s="12" t="n">
        <v>36</v>
      </c>
      <c r="F38" s="27" t="n">
        <v>32400</v>
      </c>
      <c r="G38" s="27" t="n">
        <v>9</v>
      </c>
      <c r="H38" s="39" t="n">
        <v>0.51</v>
      </c>
      <c r="I38" s="40">
        <f>H38*0.25</f>
        <v/>
      </c>
      <c r="J38" s="34">
        <f>J37+I38</f>
        <v/>
      </c>
      <c r="K38" s="12" t="inlineStr">
        <is>
          <t>Valid (Smart Meter)</t>
        </is>
      </c>
      <c r="L38" s="28" t="inlineStr">
        <is>
          <t>Daytime low activity / Home office</t>
        </is>
      </c>
    </row>
    <row r="39">
      <c r="A39" s="12" t="inlineStr">
        <is>
          <t>2025-11-10 09:15:00</t>
        </is>
      </c>
      <c r="B39" s="12" t="inlineStr">
        <is>
          <t>2025-11-10</t>
        </is>
      </c>
      <c r="C39" s="12" t="inlineStr">
        <is>
          <t>09:15</t>
        </is>
      </c>
      <c r="D39" s="12" t="inlineStr">
        <is>
          <t>Monday</t>
        </is>
      </c>
      <c r="E39" s="12" t="n">
        <v>37</v>
      </c>
      <c r="F39" s="27" t="n">
        <v>33300</v>
      </c>
      <c r="G39" s="27" t="n">
        <v>9.25</v>
      </c>
      <c r="H39" s="39" t="n">
        <v>0.712</v>
      </c>
      <c r="I39" s="40">
        <f>H39*0.25</f>
        <v/>
      </c>
      <c r="J39" s="34">
        <f>J38+I39</f>
        <v/>
      </c>
      <c r="K39" s="12" t="inlineStr">
        <is>
          <t>Valid (Smart Meter)</t>
        </is>
      </c>
      <c r="L39" s="28" t="inlineStr">
        <is>
          <t>Daytime low activity / Home office</t>
        </is>
      </c>
    </row>
    <row r="40">
      <c r="A40" s="12" t="inlineStr">
        <is>
          <t>2025-11-10 09:30:00</t>
        </is>
      </c>
      <c r="B40" s="12" t="inlineStr">
        <is>
          <t>2025-11-10</t>
        </is>
      </c>
      <c r="C40" s="12" t="inlineStr">
        <is>
          <t>09:30</t>
        </is>
      </c>
      <c r="D40" s="12" t="inlineStr">
        <is>
          <t>Monday</t>
        </is>
      </c>
      <c r="E40" s="12" t="n">
        <v>38</v>
      </c>
      <c r="F40" s="27" t="n">
        <v>34200</v>
      </c>
      <c r="G40" s="27" t="n">
        <v>9.5</v>
      </c>
      <c r="H40" s="39" t="n">
        <v>0.584</v>
      </c>
      <c r="I40" s="40">
        <f>H40*0.25</f>
        <v/>
      </c>
      <c r="J40" s="34">
        <f>J39+I40</f>
        <v/>
      </c>
      <c r="K40" s="12" t="inlineStr">
        <is>
          <t>Valid (Smart Meter)</t>
        </is>
      </c>
      <c r="L40" s="28" t="inlineStr">
        <is>
          <t>Daytime low activity / Home office</t>
        </is>
      </c>
    </row>
    <row r="41">
      <c r="A41" s="12" t="inlineStr">
        <is>
          <t>2025-11-10 09:45:00</t>
        </is>
      </c>
      <c r="B41" s="12" t="inlineStr">
        <is>
          <t>2025-11-10</t>
        </is>
      </c>
      <c r="C41" s="12" t="inlineStr">
        <is>
          <t>09:45</t>
        </is>
      </c>
      <c r="D41" s="12" t="inlineStr">
        <is>
          <t>Monday</t>
        </is>
      </c>
      <c r="E41" s="12" t="n">
        <v>39</v>
      </c>
      <c r="F41" s="27" t="n">
        <v>35100</v>
      </c>
      <c r="G41" s="27" t="n">
        <v>9.75</v>
      </c>
      <c r="H41" s="39" t="n">
        <v>0.631</v>
      </c>
      <c r="I41" s="40">
        <f>H41*0.25</f>
        <v/>
      </c>
      <c r="J41" s="34">
        <f>J40+I41</f>
        <v/>
      </c>
      <c r="K41" s="12" t="inlineStr">
        <is>
          <t>Valid (Smart Meter)</t>
        </is>
      </c>
      <c r="L41" s="28" t="inlineStr">
        <is>
          <t>Daytime low activity / Home office</t>
        </is>
      </c>
    </row>
    <row r="42">
      <c r="A42" s="15" t="inlineStr">
        <is>
          <t>2025-11-10 10:00:00</t>
        </is>
      </c>
      <c r="B42" s="15" t="inlineStr">
        <is>
          <t>2025-11-10</t>
        </is>
      </c>
      <c r="C42" s="15" t="inlineStr">
        <is>
          <t>10:00</t>
        </is>
      </c>
      <c r="D42" s="15" t="inlineStr">
        <is>
          <t>Monday</t>
        </is>
      </c>
      <c r="E42" s="15" t="n">
        <v>40</v>
      </c>
      <c r="F42" s="25" t="n">
        <v>36000</v>
      </c>
      <c r="G42" s="25" t="n">
        <v>10</v>
      </c>
      <c r="H42" s="37" t="n">
        <v>0.697</v>
      </c>
      <c r="I42" s="38">
        <f>H42*0.25</f>
        <v/>
      </c>
      <c r="J42" s="35">
        <f>J41+I42</f>
        <v/>
      </c>
      <c r="K42" s="15" t="inlineStr">
        <is>
          <t>Valid (Smart Meter)</t>
        </is>
      </c>
      <c r="L42" s="26" t="inlineStr">
        <is>
          <t>Daytime low activity / Home office</t>
        </is>
      </c>
    </row>
    <row r="43">
      <c r="A43" s="15" t="inlineStr">
        <is>
          <t>2025-11-10 10:15:00</t>
        </is>
      </c>
      <c r="B43" s="15" t="inlineStr">
        <is>
          <t>2025-11-10</t>
        </is>
      </c>
      <c r="C43" s="15" t="inlineStr">
        <is>
          <t>10:15</t>
        </is>
      </c>
      <c r="D43" s="15" t="inlineStr">
        <is>
          <t>Monday</t>
        </is>
      </c>
      <c r="E43" s="15" t="n">
        <v>41</v>
      </c>
      <c r="F43" s="25" t="n">
        <v>36900</v>
      </c>
      <c r="G43" s="25" t="n">
        <v>10.25</v>
      </c>
      <c r="H43" s="37" t="n">
        <v>0.756</v>
      </c>
      <c r="I43" s="38">
        <f>H43*0.25</f>
        <v/>
      </c>
      <c r="J43" s="35">
        <f>J42+I43</f>
        <v/>
      </c>
      <c r="K43" s="15" t="inlineStr">
        <is>
          <t>Valid (Smart Meter)</t>
        </is>
      </c>
      <c r="L43" s="26" t="inlineStr">
        <is>
          <t>Daytime low activity / Home office</t>
        </is>
      </c>
    </row>
    <row r="44">
      <c r="A44" s="15" t="inlineStr">
        <is>
          <t>2025-11-10 10:30:00</t>
        </is>
      </c>
      <c r="B44" s="15" t="inlineStr">
        <is>
          <t>2025-11-10</t>
        </is>
      </c>
      <c r="C44" s="15" t="inlineStr">
        <is>
          <t>10:30</t>
        </is>
      </c>
      <c r="D44" s="15" t="inlineStr">
        <is>
          <t>Monday</t>
        </is>
      </c>
      <c r="E44" s="15" t="n">
        <v>42</v>
      </c>
      <c r="F44" s="25" t="n">
        <v>37800</v>
      </c>
      <c r="G44" s="25" t="n">
        <v>10.5</v>
      </c>
      <c r="H44" s="37" t="n">
        <v>0.732</v>
      </c>
      <c r="I44" s="38">
        <f>H44*0.25</f>
        <v/>
      </c>
      <c r="J44" s="35">
        <f>J43+I44</f>
        <v/>
      </c>
      <c r="K44" s="15" t="inlineStr">
        <is>
          <t>Valid (Smart Meter)</t>
        </is>
      </c>
      <c r="L44" s="26" t="inlineStr">
        <is>
          <t>Daytime low activity / Home office</t>
        </is>
      </c>
    </row>
    <row r="45">
      <c r="A45" s="15" t="inlineStr">
        <is>
          <t>2025-11-10 10:45:00</t>
        </is>
      </c>
      <c r="B45" s="15" t="inlineStr">
        <is>
          <t>2025-11-10</t>
        </is>
      </c>
      <c r="C45" s="15" t="inlineStr">
        <is>
          <t>10:45</t>
        </is>
      </c>
      <c r="D45" s="15" t="inlineStr">
        <is>
          <t>Monday</t>
        </is>
      </c>
      <c r="E45" s="15" t="n">
        <v>43</v>
      </c>
      <c r="F45" s="25" t="n">
        <v>38700</v>
      </c>
      <c r="G45" s="25" t="n">
        <v>10.75</v>
      </c>
      <c r="H45" s="37" t="n">
        <v>0.664</v>
      </c>
      <c r="I45" s="38">
        <f>H45*0.25</f>
        <v/>
      </c>
      <c r="J45" s="35">
        <f>J44+I45</f>
        <v/>
      </c>
      <c r="K45" s="15" t="inlineStr">
        <is>
          <t>Valid (Smart Meter)</t>
        </is>
      </c>
      <c r="L45" s="26" t="inlineStr">
        <is>
          <t>Daytime low activity / Home office</t>
        </is>
      </c>
    </row>
    <row r="46">
      <c r="A46" s="12" t="inlineStr">
        <is>
          <t>2025-11-10 11:00:00</t>
        </is>
      </c>
      <c r="B46" s="12" t="inlineStr">
        <is>
          <t>2025-11-10</t>
        </is>
      </c>
      <c r="C46" s="12" t="inlineStr">
        <is>
          <t>11:00</t>
        </is>
      </c>
      <c r="D46" s="12" t="inlineStr">
        <is>
          <t>Monday</t>
        </is>
      </c>
      <c r="E46" s="12" t="n">
        <v>44</v>
      </c>
      <c r="F46" s="27" t="n">
        <v>39600</v>
      </c>
      <c r="G46" s="27" t="n">
        <v>11</v>
      </c>
      <c r="H46" s="39" t="n">
        <v>0.643</v>
      </c>
      <c r="I46" s="40">
        <f>H46*0.25</f>
        <v/>
      </c>
      <c r="J46" s="34">
        <f>J45+I46</f>
        <v/>
      </c>
      <c r="K46" s="12" t="inlineStr">
        <is>
          <t>Valid (Smart Meter)</t>
        </is>
      </c>
      <c r="L46" s="28" t="inlineStr">
        <is>
          <t>Daytime low activity / Home office</t>
        </is>
      </c>
    </row>
    <row r="47">
      <c r="A47" s="12" t="inlineStr">
        <is>
          <t>2025-11-10 11:15:00</t>
        </is>
      </c>
      <c r="B47" s="12" t="inlineStr">
        <is>
          <t>2025-11-10</t>
        </is>
      </c>
      <c r="C47" s="12" t="inlineStr">
        <is>
          <t>11:15</t>
        </is>
      </c>
      <c r="D47" s="12" t="inlineStr">
        <is>
          <t>Monday</t>
        </is>
      </c>
      <c r="E47" s="12" t="n">
        <v>45</v>
      </c>
      <c r="F47" s="27" t="n">
        <v>40500</v>
      </c>
      <c r="G47" s="27" t="n">
        <v>11.25</v>
      </c>
      <c r="H47" s="39" t="n">
        <v>0.592</v>
      </c>
      <c r="I47" s="40">
        <f>H47*0.25</f>
        <v/>
      </c>
      <c r="J47" s="34">
        <f>J46+I47</f>
        <v/>
      </c>
      <c r="K47" s="12" t="inlineStr">
        <is>
          <t>Valid (Smart Meter)</t>
        </is>
      </c>
      <c r="L47" s="28" t="inlineStr">
        <is>
          <t>Daytime low activity / Home office</t>
        </is>
      </c>
    </row>
    <row r="48">
      <c r="A48" s="12" t="inlineStr">
        <is>
          <t>2025-11-10 11:30:00</t>
        </is>
      </c>
      <c r="B48" s="12" t="inlineStr">
        <is>
          <t>2025-11-10</t>
        </is>
      </c>
      <c r="C48" s="12" t="inlineStr">
        <is>
          <t>11:30</t>
        </is>
      </c>
      <c r="D48" s="12" t="inlineStr">
        <is>
          <t>Monday</t>
        </is>
      </c>
      <c r="E48" s="12" t="n">
        <v>46</v>
      </c>
      <c r="F48" s="27" t="n">
        <v>41400</v>
      </c>
      <c r="G48" s="27" t="n">
        <v>11.5</v>
      </c>
      <c r="H48" s="39" t="n">
        <v>0.593</v>
      </c>
      <c r="I48" s="40">
        <f>H48*0.25</f>
        <v/>
      </c>
      <c r="J48" s="34">
        <f>J47+I48</f>
        <v/>
      </c>
      <c r="K48" s="12" t="inlineStr">
        <is>
          <t>Valid (Smart Meter)</t>
        </is>
      </c>
      <c r="L48" s="28" t="inlineStr">
        <is>
          <t>Daytime low activity / Home office</t>
        </is>
      </c>
    </row>
    <row r="49">
      <c r="A49" s="12" t="inlineStr">
        <is>
          <t>2025-11-10 11:45:00</t>
        </is>
      </c>
      <c r="B49" s="12" t="inlineStr">
        <is>
          <t>2025-11-10</t>
        </is>
      </c>
      <c r="C49" s="12" t="inlineStr">
        <is>
          <t>11:45</t>
        </is>
      </c>
      <c r="D49" s="12" t="inlineStr">
        <is>
          <t>Monday</t>
        </is>
      </c>
      <c r="E49" s="12" t="n">
        <v>47</v>
      </c>
      <c r="F49" s="27" t="n">
        <v>42300</v>
      </c>
      <c r="G49" s="27" t="n">
        <v>11.75</v>
      </c>
      <c r="H49" s="39" t="n">
        <v>0.625</v>
      </c>
      <c r="I49" s="40">
        <f>H49*0.25</f>
        <v/>
      </c>
      <c r="J49" s="34">
        <f>J48+I49</f>
        <v/>
      </c>
      <c r="K49" s="12" t="inlineStr">
        <is>
          <t>Valid (Smart Meter)</t>
        </is>
      </c>
      <c r="L49" s="28" t="inlineStr">
        <is>
          <t>Daytime low activity / Home office</t>
        </is>
      </c>
    </row>
    <row r="50">
      <c r="A50" s="15" t="inlineStr">
        <is>
          <t>2025-11-10 12:00:00</t>
        </is>
      </c>
      <c r="B50" s="15" t="inlineStr">
        <is>
          <t>2025-11-10</t>
        </is>
      </c>
      <c r="C50" s="15" t="inlineStr">
        <is>
          <t>12:00</t>
        </is>
      </c>
      <c r="D50" s="15" t="inlineStr">
        <is>
          <t>Monday</t>
        </is>
      </c>
      <c r="E50" s="15" t="n">
        <v>48</v>
      </c>
      <c r="F50" s="25" t="n">
        <v>43200</v>
      </c>
      <c r="G50" s="25" t="n">
        <v>12</v>
      </c>
      <c r="H50" s="37" t="n">
        <v>1.8</v>
      </c>
      <c r="I50" s="38">
        <f>H50*0.25</f>
        <v/>
      </c>
      <c r="J50" s="35">
        <f>J49+I50</f>
        <v/>
      </c>
      <c r="K50" s="15" t="inlineStr">
        <is>
          <t>Valid (Smart Meter)</t>
        </is>
      </c>
      <c r="L50" s="26" t="inlineStr">
        <is>
          <t>Lunch microwave / cooking</t>
        </is>
      </c>
    </row>
    <row r="51">
      <c r="A51" s="15" t="inlineStr">
        <is>
          <t>2025-11-10 12:15:00</t>
        </is>
      </c>
      <c r="B51" s="15" t="inlineStr">
        <is>
          <t>2025-11-10</t>
        </is>
      </c>
      <c r="C51" s="15" t="inlineStr">
        <is>
          <t>12:15</t>
        </is>
      </c>
      <c r="D51" s="15" t="inlineStr">
        <is>
          <t>Monday</t>
        </is>
      </c>
      <c r="E51" s="15" t="n">
        <v>49</v>
      </c>
      <c r="F51" s="25" t="n">
        <v>44100</v>
      </c>
      <c r="G51" s="25" t="n">
        <v>12.25</v>
      </c>
      <c r="H51" s="37" t="n">
        <v>1.723</v>
      </c>
      <c r="I51" s="38">
        <f>H51*0.25</f>
        <v/>
      </c>
      <c r="J51" s="35">
        <f>J50+I51</f>
        <v/>
      </c>
      <c r="K51" s="15" t="inlineStr">
        <is>
          <t>Valid (Smart Meter)</t>
        </is>
      </c>
      <c r="L51" s="26" t="inlineStr">
        <is>
          <t>Lunch microwave / cooking</t>
        </is>
      </c>
    </row>
    <row r="52">
      <c r="A52" s="15" t="inlineStr">
        <is>
          <t>2025-11-10 12:30:00</t>
        </is>
      </c>
      <c r="B52" s="15" t="inlineStr">
        <is>
          <t>2025-11-10</t>
        </is>
      </c>
      <c r="C52" s="15" t="inlineStr">
        <is>
          <t>12:30</t>
        </is>
      </c>
      <c r="D52" s="15" t="inlineStr">
        <is>
          <t>Monday</t>
        </is>
      </c>
      <c r="E52" s="15" t="n">
        <v>50</v>
      </c>
      <c r="F52" s="25" t="n">
        <v>45000</v>
      </c>
      <c r="G52" s="25" t="n">
        <v>12.5</v>
      </c>
      <c r="H52" s="37" t="n">
        <v>1.544</v>
      </c>
      <c r="I52" s="38">
        <f>H52*0.25</f>
        <v/>
      </c>
      <c r="J52" s="35">
        <f>J51+I52</f>
        <v/>
      </c>
      <c r="K52" s="15" t="inlineStr">
        <is>
          <t>Valid (Smart Meter)</t>
        </is>
      </c>
      <c r="L52" s="26" t="inlineStr">
        <is>
          <t>Lunch microwave / cooking</t>
        </is>
      </c>
    </row>
    <row r="53">
      <c r="A53" s="15" t="inlineStr">
        <is>
          <t>2025-11-10 12:45:00</t>
        </is>
      </c>
      <c r="B53" s="15" t="inlineStr">
        <is>
          <t>2025-11-10</t>
        </is>
      </c>
      <c r="C53" s="15" t="inlineStr">
        <is>
          <t>12:45</t>
        </is>
      </c>
      <c r="D53" s="15" t="inlineStr">
        <is>
          <t>Monday</t>
        </is>
      </c>
      <c r="E53" s="15" t="n">
        <v>51</v>
      </c>
      <c r="F53" s="25" t="n">
        <v>45900</v>
      </c>
      <c r="G53" s="25" t="n">
        <v>12.75</v>
      </c>
      <c r="H53" s="37" t="n">
        <v>1.88</v>
      </c>
      <c r="I53" s="38">
        <f>H53*0.25</f>
        <v/>
      </c>
      <c r="J53" s="35">
        <f>J52+I53</f>
        <v/>
      </c>
      <c r="K53" s="15" t="inlineStr">
        <is>
          <t>Valid (Smart Meter)</t>
        </is>
      </c>
      <c r="L53" s="26" t="inlineStr">
        <is>
          <t>Lunch microwave / cooking</t>
        </is>
      </c>
    </row>
    <row r="54">
      <c r="A54" s="12" t="inlineStr">
        <is>
          <t>2025-11-10 13:00:00</t>
        </is>
      </c>
      <c r="B54" s="12" t="inlineStr">
        <is>
          <t>2025-11-10</t>
        </is>
      </c>
      <c r="C54" s="12" t="inlineStr">
        <is>
          <t>13:00</t>
        </is>
      </c>
      <c r="D54" s="12" t="inlineStr">
        <is>
          <t>Monday</t>
        </is>
      </c>
      <c r="E54" s="12" t="n">
        <v>52</v>
      </c>
      <c r="F54" s="27" t="n">
        <v>46800</v>
      </c>
      <c r="G54" s="27" t="n">
        <v>13</v>
      </c>
      <c r="H54" s="39" t="n">
        <v>0.519</v>
      </c>
      <c r="I54" s="40">
        <f>H54*0.25</f>
        <v/>
      </c>
      <c r="J54" s="34">
        <f>J53+I54</f>
        <v/>
      </c>
      <c r="K54" s="12" t="inlineStr">
        <is>
          <t>Valid (Smart Meter)</t>
        </is>
      </c>
      <c r="L54" s="28" t="inlineStr">
        <is>
          <t>Daytime low activity / Home office</t>
        </is>
      </c>
    </row>
    <row r="55">
      <c r="A55" s="12" t="inlineStr">
        <is>
          <t>2025-11-10 13:15:00</t>
        </is>
      </c>
      <c r="B55" s="12" t="inlineStr">
        <is>
          <t>2025-11-10</t>
        </is>
      </c>
      <c r="C55" s="12" t="inlineStr">
        <is>
          <t>13:15</t>
        </is>
      </c>
      <c r="D55" s="12" t="inlineStr">
        <is>
          <t>Monday</t>
        </is>
      </c>
      <c r="E55" s="12" t="n">
        <v>53</v>
      </c>
      <c r="F55" s="27" t="n">
        <v>47700</v>
      </c>
      <c r="G55" s="27" t="n">
        <v>13.25</v>
      </c>
      <c r="H55" s="39" t="n">
        <v>0.5610000000000001</v>
      </c>
      <c r="I55" s="40">
        <f>H55*0.25</f>
        <v/>
      </c>
      <c r="J55" s="34">
        <f>J54+I55</f>
        <v/>
      </c>
      <c r="K55" s="12" t="inlineStr">
        <is>
          <t>Valid (Smart Meter)</t>
        </is>
      </c>
      <c r="L55" s="28" t="inlineStr">
        <is>
          <t>Daytime low activity / Home office</t>
        </is>
      </c>
    </row>
    <row r="56">
      <c r="A56" s="12" t="inlineStr">
        <is>
          <t>2025-11-10 13:30:00</t>
        </is>
      </c>
      <c r="B56" s="12" t="inlineStr">
        <is>
          <t>2025-11-10</t>
        </is>
      </c>
      <c r="C56" s="12" t="inlineStr">
        <is>
          <t>13:30</t>
        </is>
      </c>
      <c r="D56" s="12" t="inlineStr">
        <is>
          <t>Monday</t>
        </is>
      </c>
      <c r="E56" s="12" t="n">
        <v>54</v>
      </c>
      <c r="F56" s="27" t="n">
        <v>48600</v>
      </c>
      <c r="G56" s="27" t="n">
        <v>13.5</v>
      </c>
      <c r="H56" s="39" t="n">
        <v>0.525</v>
      </c>
      <c r="I56" s="40">
        <f>H56*0.25</f>
        <v/>
      </c>
      <c r="J56" s="34">
        <f>J55+I56</f>
        <v/>
      </c>
      <c r="K56" s="12" t="inlineStr">
        <is>
          <t>Valid (Smart Meter)</t>
        </is>
      </c>
      <c r="L56" s="28" t="inlineStr">
        <is>
          <t>Daytime low activity / Home office</t>
        </is>
      </c>
    </row>
    <row r="57">
      <c r="A57" s="12" t="inlineStr">
        <is>
          <t>2025-11-10 13:45:00</t>
        </is>
      </c>
      <c r="B57" s="12" t="inlineStr">
        <is>
          <t>2025-11-10</t>
        </is>
      </c>
      <c r="C57" s="12" t="inlineStr">
        <is>
          <t>13:45</t>
        </is>
      </c>
      <c r="D57" s="12" t="inlineStr">
        <is>
          <t>Monday</t>
        </is>
      </c>
      <c r="E57" s="12" t="n">
        <v>55</v>
      </c>
      <c r="F57" s="27" t="n">
        <v>49500</v>
      </c>
      <c r="G57" s="27" t="n">
        <v>13.75</v>
      </c>
      <c r="H57" s="39" t="n">
        <v>0.656</v>
      </c>
      <c r="I57" s="40">
        <f>H57*0.25</f>
        <v/>
      </c>
      <c r="J57" s="34">
        <f>J56+I57</f>
        <v/>
      </c>
      <c r="K57" s="12" t="inlineStr">
        <is>
          <t>Valid (Smart Meter)</t>
        </is>
      </c>
      <c r="L57" s="28" t="inlineStr">
        <is>
          <t>Daytime low activity / Home office</t>
        </is>
      </c>
    </row>
    <row r="58">
      <c r="A58" s="15" t="inlineStr">
        <is>
          <t>2025-11-10 14:00:00</t>
        </is>
      </c>
      <c r="B58" s="15" t="inlineStr">
        <is>
          <t>2025-11-10</t>
        </is>
      </c>
      <c r="C58" s="15" t="inlineStr">
        <is>
          <t>14:00</t>
        </is>
      </c>
      <c r="D58" s="15" t="inlineStr">
        <is>
          <t>Monday</t>
        </is>
      </c>
      <c r="E58" s="15" t="n">
        <v>56</v>
      </c>
      <c r="F58" s="25" t="n">
        <v>50400</v>
      </c>
      <c r="G58" s="25" t="n">
        <v>14</v>
      </c>
      <c r="H58" s="37" t="n">
        <v>0.537</v>
      </c>
      <c r="I58" s="38">
        <f>H58*0.25</f>
        <v/>
      </c>
      <c r="J58" s="35">
        <f>J57+I58</f>
        <v/>
      </c>
      <c r="K58" s="15" t="inlineStr">
        <is>
          <t>Valid (Smart Meter)</t>
        </is>
      </c>
      <c r="L58" s="26" t="inlineStr">
        <is>
          <t>Daytime low activity / Home office</t>
        </is>
      </c>
    </row>
    <row r="59">
      <c r="A59" s="15" t="inlineStr">
        <is>
          <t>2025-11-10 14:15:00</t>
        </is>
      </c>
      <c r="B59" s="15" t="inlineStr">
        <is>
          <t>2025-11-10</t>
        </is>
      </c>
      <c r="C59" s="15" t="inlineStr">
        <is>
          <t>14:15</t>
        </is>
      </c>
      <c r="D59" s="15" t="inlineStr">
        <is>
          <t>Monday</t>
        </is>
      </c>
      <c r="E59" s="15" t="n">
        <v>57</v>
      </c>
      <c r="F59" s="25" t="n">
        <v>51300</v>
      </c>
      <c r="G59" s="25" t="n">
        <v>14.25</v>
      </c>
      <c r="H59" s="37" t="n">
        <v>0.586</v>
      </c>
      <c r="I59" s="38">
        <f>H59*0.25</f>
        <v/>
      </c>
      <c r="J59" s="35">
        <f>J58+I59</f>
        <v/>
      </c>
      <c r="K59" s="15" t="inlineStr">
        <is>
          <t>Valid (Smart Meter)</t>
        </is>
      </c>
      <c r="L59" s="26" t="inlineStr">
        <is>
          <t>Daytime low activity / Home office</t>
        </is>
      </c>
    </row>
    <row r="60">
      <c r="A60" s="15" t="inlineStr">
        <is>
          <t>2025-11-10 14:30:00</t>
        </is>
      </c>
      <c r="B60" s="15" t="inlineStr">
        <is>
          <t>2025-11-10</t>
        </is>
      </c>
      <c r="C60" s="15" t="inlineStr">
        <is>
          <t>14:30</t>
        </is>
      </c>
      <c r="D60" s="15" t="inlineStr">
        <is>
          <t>Monday</t>
        </is>
      </c>
      <c r="E60" s="15" t="n">
        <v>58</v>
      </c>
      <c r="F60" s="25" t="n">
        <v>52200</v>
      </c>
      <c r="G60" s="25" t="n">
        <v>14.5</v>
      </c>
      <c r="H60" s="37" t="n">
        <v>0.656</v>
      </c>
      <c r="I60" s="38">
        <f>H60*0.25</f>
        <v/>
      </c>
      <c r="J60" s="35">
        <f>J59+I60</f>
        <v/>
      </c>
      <c r="K60" s="15" t="inlineStr">
        <is>
          <t>Valid (Smart Meter)</t>
        </is>
      </c>
      <c r="L60" s="26" t="inlineStr">
        <is>
          <t>Daytime low activity / Home office</t>
        </is>
      </c>
    </row>
    <row r="61">
      <c r="A61" s="15" t="inlineStr">
        <is>
          <t>2025-11-10 14:45:00</t>
        </is>
      </c>
      <c r="B61" s="15" t="inlineStr">
        <is>
          <t>2025-11-10</t>
        </is>
      </c>
      <c r="C61" s="15" t="inlineStr">
        <is>
          <t>14:45</t>
        </is>
      </c>
      <c r="D61" s="15" t="inlineStr">
        <is>
          <t>Monday</t>
        </is>
      </c>
      <c r="E61" s="15" t="n">
        <v>59</v>
      </c>
      <c r="F61" s="25" t="n">
        <v>53100</v>
      </c>
      <c r="G61" s="25" t="n">
        <v>14.75</v>
      </c>
      <c r="H61" s="37" t="n">
        <v>0.635</v>
      </c>
      <c r="I61" s="38">
        <f>H61*0.25</f>
        <v/>
      </c>
      <c r="J61" s="35">
        <f>J60+I61</f>
        <v/>
      </c>
      <c r="K61" s="15" t="inlineStr">
        <is>
          <t>Valid (Smart Meter)</t>
        </is>
      </c>
      <c r="L61" s="26" t="inlineStr">
        <is>
          <t>Daytime low activity / Home office</t>
        </is>
      </c>
    </row>
    <row r="62">
      <c r="A62" s="12" t="inlineStr">
        <is>
          <t>2025-11-10 15:00:00</t>
        </is>
      </c>
      <c r="B62" s="12" t="inlineStr">
        <is>
          <t>2025-11-10</t>
        </is>
      </c>
      <c r="C62" s="12" t="inlineStr">
        <is>
          <t>15:00</t>
        </is>
      </c>
      <c r="D62" s="12" t="inlineStr">
        <is>
          <t>Monday</t>
        </is>
      </c>
      <c r="E62" s="12" t="n">
        <v>60</v>
      </c>
      <c r="F62" s="27" t="n">
        <v>54000</v>
      </c>
      <c r="G62" s="27" t="n">
        <v>15</v>
      </c>
      <c r="H62" s="39" t="n">
        <v>0.6929999999999999</v>
      </c>
      <c r="I62" s="40">
        <f>H62*0.25</f>
        <v/>
      </c>
      <c r="J62" s="34">
        <f>J61+I62</f>
        <v/>
      </c>
      <c r="K62" s="12" t="inlineStr">
        <is>
          <t>Valid (Smart Meter)</t>
        </is>
      </c>
      <c r="L62" s="28" t="inlineStr">
        <is>
          <t>Daytime low activity / Home office</t>
        </is>
      </c>
    </row>
    <row r="63">
      <c r="A63" s="12" t="inlineStr">
        <is>
          <t>2025-11-10 15:15:00</t>
        </is>
      </c>
      <c r="B63" s="12" t="inlineStr">
        <is>
          <t>2025-11-10</t>
        </is>
      </c>
      <c r="C63" s="12" t="inlineStr">
        <is>
          <t>15:15</t>
        </is>
      </c>
      <c r="D63" s="12" t="inlineStr">
        <is>
          <t>Monday</t>
        </is>
      </c>
      <c r="E63" s="12" t="n">
        <v>61</v>
      </c>
      <c r="F63" s="27" t="n">
        <v>54900</v>
      </c>
      <c r="G63" s="27" t="n">
        <v>15.25</v>
      </c>
      <c r="H63" s="39" t="n">
        <v>0.639</v>
      </c>
      <c r="I63" s="40">
        <f>H63*0.25</f>
        <v/>
      </c>
      <c r="J63" s="34">
        <f>J62+I63</f>
        <v/>
      </c>
      <c r="K63" s="12" t="inlineStr">
        <is>
          <t>Valid (Smart Meter)</t>
        </is>
      </c>
      <c r="L63" s="28" t="inlineStr">
        <is>
          <t>Daytime low activity / Home office</t>
        </is>
      </c>
    </row>
    <row r="64">
      <c r="A64" s="12" t="inlineStr">
        <is>
          <t>2025-11-10 15:30:00</t>
        </is>
      </c>
      <c r="B64" s="12" t="inlineStr">
        <is>
          <t>2025-11-10</t>
        </is>
      </c>
      <c r="C64" s="12" t="inlineStr">
        <is>
          <t>15:30</t>
        </is>
      </c>
      <c r="D64" s="12" t="inlineStr">
        <is>
          <t>Monday</t>
        </is>
      </c>
      <c r="E64" s="12" t="n">
        <v>62</v>
      </c>
      <c r="F64" s="27" t="n">
        <v>55800</v>
      </c>
      <c r="G64" s="27" t="n">
        <v>15.5</v>
      </c>
      <c r="H64" s="39" t="n">
        <v>0.699</v>
      </c>
      <c r="I64" s="40">
        <f>H64*0.25</f>
        <v/>
      </c>
      <c r="J64" s="34">
        <f>J63+I64</f>
        <v/>
      </c>
      <c r="K64" s="12" t="inlineStr">
        <is>
          <t>Valid (Smart Meter)</t>
        </is>
      </c>
      <c r="L64" s="28" t="inlineStr">
        <is>
          <t>Daytime low activity / Home office</t>
        </is>
      </c>
    </row>
    <row r="65">
      <c r="A65" s="12" t="inlineStr">
        <is>
          <t>2025-11-10 15:45:00</t>
        </is>
      </c>
      <c r="B65" s="12" t="inlineStr">
        <is>
          <t>2025-11-10</t>
        </is>
      </c>
      <c r="C65" s="12" t="inlineStr">
        <is>
          <t>15:45</t>
        </is>
      </c>
      <c r="D65" s="12" t="inlineStr">
        <is>
          <t>Monday</t>
        </is>
      </c>
      <c r="E65" s="12" t="n">
        <v>63</v>
      </c>
      <c r="F65" s="27" t="n">
        <v>56700</v>
      </c>
      <c r="G65" s="27" t="n">
        <v>15.75</v>
      </c>
      <c r="H65" s="39" t="n">
        <v>0.764</v>
      </c>
      <c r="I65" s="40">
        <f>H65*0.25</f>
        <v/>
      </c>
      <c r="J65" s="34">
        <f>J64+I65</f>
        <v/>
      </c>
      <c r="K65" s="12" t="inlineStr">
        <is>
          <t>Valid (Smart Meter)</t>
        </is>
      </c>
      <c r="L65" s="28" t="inlineStr">
        <is>
          <t>Daytime low activity / Home office</t>
        </is>
      </c>
    </row>
    <row r="66">
      <c r="A66" s="15" t="inlineStr">
        <is>
          <t>2025-11-10 16:00:00</t>
        </is>
      </c>
      <c r="B66" s="15" t="inlineStr">
        <is>
          <t>2025-11-10</t>
        </is>
      </c>
      <c r="C66" s="15" t="inlineStr">
        <is>
          <t>16:00</t>
        </is>
      </c>
      <c r="D66" s="15" t="inlineStr">
        <is>
          <t>Monday</t>
        </is>
      </c>
      <c r="E66" s="15" t="n">
        <v>64</v>
      </c>
      <c r="F66" s="25" t="n">
        <v>57600</v>
      </c>
      <c r="G66" s="25" t="n">
        <v>16</v>
      </c>
      <c r="H66" s="37" t="n">
        <v>0.696</v>
      </c>
      <c r="I66" s="38">
        <f>H66*0.25</f>
        <v/>
      </c>
      <c r="J66" s="35">
        <f>J65+I66</f>
        <v/>
      </c>
      <c r="K66" s="15" t="inlineStr">
        <is>
          <t>Valid (Smart Meter)</t>
        </is>
      </c>
      <c r="L66" s="26" t="inlineStr">
        <is>
          <t>Daytime low activity / Home office</t>
        </is>
      </c>
    </row>
    <row r="67">
      <c r="A67" s="15" t="inlineStr">
        <is>
          <t>2025-11-10 16:15:00</t>
        </is>
      </c>
      <c r="B67" s="15" t="inlineStr">
        <is>
          <t>2025-11-10</t>
        </is>
      </c>
      <c r="C67" s="15" t="inlineStr">
        <is>
          <t>16:15</t>
        </is>
      </c>
      <c r="D67" s="15" t="inlineStr">
        <is>
          <t>Monday</t>
        </is>
      </c>
      <c r="E67" s="15" t="n">
        <v>65</v>
      </c>
      <c r="F67" s="25" t="n">
        <v>58500</v>
      </c>
      <c r="G67" s="25" t="n">
        <v>16.25</v>
      </c>
      <c r="H67" s="37" t="n">
        <v>0.756</v>
      </c>
      <c r="I67" s="38">
        <f>H67*0.25</f>
        <v/>
      </c>
      <c r="J67" s="35">
        <f>J66+I67</f>
        <v/>
      </c>
      <c r="K67" s="15" t="inlineStr">
        <is>
          <t>Valid (Smart Meter)</t>
        </is>
      </c>
      <c r="L67" s="26" t="inlineStr">
        <is>
          <t>Daytime low activity / Home office</t>
        </is>
      </c>
    </row>
    <row r="68">
      <c r="A68" s="15" t="inlineStr">
        <is>
          <t>2025-11-10 16:30:00</t>
        </is>
      </c>
      <c r="B68" s="15" t="inlineStr">
        <is>
          <t>2025-11-10</t>
        </is>
      </c>
      <c r="C68" s="15" t="inlineStr">
        <is>
          <t>16:30</t>
        </is>
      </c>
      <c r="D68" s="15" t="inlineStr">
        <is>
          <t>Monday</t>
        </is>
      </c>
      <c r="E68" s="15" t="n">
        <v>66</v>
      </c>
      <c r="F68" s="25" t="n">
        <v>59400</v>
      </c>
      <c r="G68" s="25" t="n">
        <v>16.5</v>
      </c>
      <c r="H68" s="37" t="n">
        <v>1.553</v>
      </c>
      <c r="I68" s="38">
        <f>H68*0.25</f>
        <v/>
      </c>
      <c r="J68" s="35">
        <f>J67+I68</f>
        <v/>
      </c>
      <c r="K68" s="15" t="inlineStr">
        <is>
          <t>Valid (Smart Meter)</t>
        </is>
      </c>
      <c r="L68" s="26" t="inlineStr">
        <is>
          <t>Evening living / Lighting / Heat</t>
        </is>
      </c>
    </row>
    <row r="69">
      <c r="A69" s="15" t="inlineStr">
        <is>
          <t>2025-11-10 16:45:00</t>
        </is>
      </c>
      <c r="B69" s="15" t="inlineStr">
        <is>
          <t>2025-11-10</t>
        </is>
      </c>
      <c r="C69" s="15" t="inlineStr">
        <is>
          <t>16:45</t>
        </is>
      </c>
      <c r="D69" s="15" t="inlineStr">
        <is>
          <t>Monday</t>
        </is>
      </c>
      <c r="E69" s="15" t="n">
        <v>67</v>
      </c>
      <c r="F69" s="25" t="n">
        <v>60300</v>
      </c>
      <c r="G69" s="25" t="n">
        <v>16.75</v>
      </c>
      <c r="H69" s="37" t="n">
        <v>1.586</v>
      </c>
      <c r="I69" s="38">
        <f>H69*0.25</f>
        <v/>
      </c>
      <c r="J69" s="35">
        <f>J68+I69</f>
        <v/>
      </c>
      <c r="K69" s="15" t="inlineStr">
        <is>
          <t>Valid (Smart Meter)</t>
        </is>
      </c>
      <c r="L69" s="26" t="inlineStr">
        <is>
          <t>Evening living / Lighting / Heat</t>
        </is>
      </c>
    </row>
    <row r="70">
      <c r="A70" s="12" t="inlineStr">
        <is>
          <t>2025-11-10 17:00:00</t>
        </is>
      </c>
      <c r="B70" s="12" t="inlineStr">
        <is>
          <t>2025-11-10</t>
        </is>
      </c>
      <c r="C70" s="12" t="inlineStr">
        <is>
          <t>17:00</t>
        </is>
      </c>
      <c r="D70" s="12" t="inlineStr">
        <is>
          <t>Monday</t>
        </is>
      </c>
      <c r="E70" s="12" t="n">
        <v>68</v>
      </c>
      <c r="F70" s="27" t="n">
        <v>61200</v>
      </c>
      <c r="G70" s="27" t="n">
        <v>17</v>
      </c>
      <c r="H70" s="39" t="n">
        <v>1.687</v>
      </c>
      <c r="I70" s="40">
        <f>H70*0.25</f>
        <v/>
      </c>
      <c r="J70" s="34">
        <f>J69+I70</f>
        <v/>
      </c>
      <c r="K70" s="12" t="inlineStr">
        <is>
          <t>Valid (Smart Meter)</t>
        </is>
      </c>
      <c r="L70" s="28" t="inlineStr">
        <is>
          <t>Evening living / Lighting / Heat</t>
        </is>
      </c>
    </row>
    <row r="71">
      <c r="A71" s="12" t="inlineStr">
        <is>
          <t>2025-11-10 17:15:00</t>
        </is>
      </c>
      <c r="B71" s="12" t="inlineStr">
        <is>
          <t>2025-11-10</t>
        </is>
      </c>
      <c r="C71" s="12" t="inlineStr">
        <is>
          <t>17:15</t>
        </is>
      </c>
      <c r="D71" s="12" t="inlineStr">
        <is>
          <t>Monday</t>
        </is>
      </c>
      <c r="E71" s="12" t="n">
        <v>69</v>
      </c>
      <c r="F71" s="27" t="n">
        <v>62100</v>
      </c>
      <c r="G71" s="27" t="n">
        <v>17.25</v>
      </c>
      <c r="H71" s="39" t="n">
        <v>1.702</v>
      </c>
      <c r="I71" s="40">
        <f>H71*0.25</f>
        <v/>
      </c>
      <c r="J71" s="34">
        <f>J70+I71</f>
        <v/>
      </c>
      <c r="K71" s="12" t="inlineStr">
        <is>
          <t>Valid (Smart Meter)</t>
        </is>
      </c>
      <c r="L71" s="28" t="inlineStr">
        <is>
          <t>Evening living / Lighting / Heat</t>
        </is>
      </c>
    </row>
    <row r="72">
      <c r="A72" s="12" t="inlineStr">
        <is>
          <t>2025-11-10 17:30:00</t>
        </is>
      </c>
      <c r="B72" s="12" t="inlineStr">
        <is>
          <t>2025-11-10</t>
        </is>
      </c>
      <c r="C72" s="12" t="inlineStr">
        <is>
          <t>17:30</t>
        </is>
      </c>
      <c r="D72" s="12" t="inlineStr">
        <is>
          <t>Monday</t>
        </is>
      </c>
      <c r="E72" s="12" t="n">
        <v>70</v>
      </c>
      <c r="F72" s="27" t="n">
        <v>63000</v>
      </c>
      <c r="G72" s="27" t="n">
        <v>17.5</v>
      </c>
      <c r="H72" s="39" t="n">
        <v>1.692</v>
      </c>
      <c r="I72" s="40">
        <f>H72*0.25</f>
        <v/>
      </c>
      <c r="J72" s="34">
        <f>J71+I72</f>
        <v/>
      </c>
      <c r="K72" s="12" t="inlineStr">
        <is>
          <t>Valid (Smart Meter)</t>
        </is>
      </c>
      <c r="L72" s="28" t="inlineStr">
        <is>
          <t>Evening living / Lighting / Heat</t>
        </is>
      </c>
    </row>
    <row r="73">
      <c r="A73" s="12" t="inlineStr">
        <is>
          <t>2025-11-10 17:45:00</t>
        </is>
      </c>
      <c r="B73" s="12" t="inlineStr">
        <is>
          <t>2025-11-10</t>
        </is>
      </c>
      <c r="C73" s="12" t="inlineStr">
        <is>
          <t>17:45</t>
        </is>
      </c>
      <c r="D73" s="12" t="inlineStr">
        <is>
          <t>Monday</t>
        </is>
      </c>
      <c r="E73" s="12" t="n">
        <v>71</v>
      </c>
      <c r="F73" s="27" t="n">
        <v>63900</v>
      </c>
      <c r="G73" s="27" t="n">
        <v>17.75</v>
      </c>
      <c r="H73" s="39" t="n">
        <v>1.672</v>
      </c>
      <c r="I73" s="40">
        <f>H73*0.25</f>
        <v/>
      </c>
      <c r="J73" s="34">
        <f>J72+I73</f>
        <v/>
      </c>
      <c r="K73" s="12" t="inlineStr">
        <is>
          <t>Valid (Smart Meter)</t>
        </is>
      </c>
      <c r="L73" s="28" t="inlineStr">
        <is>
          <t>Evening living / Lighting / Heat</t>
        </is>
      </c>
    </row>
    <row r="74">
      <c r="A74" s="15" t="inlineStr">
        <is>
          <t>2025-11-10 18:00:00</t>
        </is>
      </c>
      <c r="B74" s="15" t="inlineStr">
        <is>
          <t>2025-11-10</t>
        </is>
      </c>
      <c r="C74" s="15" t="inlineStr">
        <is>
          <t>18:00</t>
        </is>
      </c>
      <c r="D74" s="15" t="inlineStr">
        <is>
          <t>Monday</t>
        </is>
      </c>
      <c r="E74" s="15" t="n">
        <v>72</v>
      </c>
      <c r="F74" s="25" t="n">
        <v>64800</v>
      </c>
      <c r="G74" s="25" t="n">
        <v>18</v>
      </c>
      <c r="H74" s="37" t="n">
        <v>4.152</v>
      </c>
      <c r="I74" s="38">
        <f>H74*0.25</f>
        <v/>
      </c>
      <c r="J74" s="35">
        <f>J73+I74</f>
        <v/>
      </c>
      <c r="K74" s="15" t="inlineStr">
        <is>
          <t>Valid (Smart Meter)</t>
        </is>
      </c>
      <c r="L74" s="26" t="inlineStr">
        <is>
          <t>Dinner cooking (Oven / Induction hob)</t>
        </is>
      </c>
    </row>
    <row r="75">
      <c r="A75" s="15" t="inlineStr">
        <is>
          <t>2025-11-10 18:15:00</t>
        </is>
      </c>
      <c r="B75" s="15" t="inlineStr">
        <is>
          <t>2025-11-10</t>
        </is>
      </c>
      <c r="C75" s="15" t="inlineStr">
        <is>
          <t>18:15</t>
        </is>
      </c>
      <c r="D75" s="15" t="inlineStr">
        <is>
          <t>Monday</t>
        </is>
      </c>
      <c r="E75" s="15" t="n">
        <v>73</v>
      </c>
      <c r="F75" s="25" t="n">
        <v>65700</v>
      </c>
      <c r="G75" s="25" t="n">
        <v>18.25</v>
      </c>
      <c r="H75" s="37" t="n">
        <v>4.551</v>
      </c>
      <c r="I75" s="38">
        <f>H75*0.25</f>
        <v/>
      </c>
      <c r="J75" s="35">
        <f>J74+I75</f>
        <v/>
      </c>
      <c r="K75" s="15" t="inlineStr">
        <is>
          <t>Valid (Smart Meter)</t>
        </is>
      </c>
      <c r="L75" s="26" t="inlineStr">
        <is>
          <t>Dinner cooking (Oven / Induction hob)</t>
        </is>
      </c>
    </row>
    <row r="76">
      <c r="A76" s="15" t="inlineStr">
        <is>
          <t>2025-11-10 18:30:00</t>
        </is>
      </c>
      <c r="B76" s="15" t="inlineStr">
        <is>
          <t>2025-11-10</t>
        </is>
      </c>
      <c r="C76" s="15" t="inlineStr">
        <is>
          <t>18:30</t>
        </is>
      </c>
      <c r="D76" s="15" t="inlineStr">
        <is>
          <t>Monday</t>
        </is>
      </c>
      <c r="E76" s="15" t="n">
        <v>74</v>
      </c>
      <c r="F76" s="25" t="n">
        <v>66600</v>
      </c>
      <c r="G76" s="25" t="n">
        <v>18.5</v>
      </c>
      <c r="H76" s="37" t="n">
        <v>4.333</v>
      </c>
      <c r="I76" s="38">
        <f>H76*0.25</f>
        <v/>
      </c>
      <c r="J76" s="35">
        <f>J75+I76</f>
        <v/>
      </c>
      <c r="K76" s="15" t="inlineStr">
        <is>
          <t>Valid (Smart Meter)</t>
        </is>
      </c>
      <c r="L76" s="26" t="inlineStr">
        <is>
          <t>Dinner cooking (Oven / Induction hob)</t>
        </is>
      </c>
    </row>
    <row r="77">
      <c r="A77" s="15" t="inlineStr">
        <is>
          <t>2025-11-10 18:45:00</t>
        </is>
      </c>
      <c r="B77" s="15" t="inlineStr">
        <is>
          <t>2025-11-10</t>
        </is>
      </c>
      <c r="C77" s="15" t="inlineStr">
        <is>
          <t>18:45</t>
        </is>
      </c>
      <c r="D77" s="15" t="inlineStr">
        <is>
          <t>Monday</t>
        </is>
      </c>
      <c r="E77" s="15" t="n">
        <v>75</v>
      </c>
      <c r="F77" s="25" t="n">
        <v>67500</v>
      </c>
      <c r="G77" s="25" t="n">
        <v>18.75</v>
      </c>
      <c r="H77" s="37" t="n">
        <v>4.539</v>
      </c>
      <c r="I77" s="38">
        <f>H77*0.25</f>
        <v/>
      </c>
      <c r="J77" s="35">
        <f>J76+I77</f>
        <v/>
      </c>
      <c r="K77" s="15" t="inlineStr">
        <is>
          <t>Valid (Smart Meter)</t>
        </is>
      </c>
      <c r="L77" s="26" t="inlineStr">
        <is>
          <t>Dinner cooking (Oven / Induction hob)</t>
        </is>
      </c>
    </row>
    <row r="78">
      <c r="A78" s="12" t="inlineStr">
        <is>
          <t>2025-11-10 19:00:00</t>
        </is>
      </c>
      <c r="B78" s="12" t="inlineStr">
        <is>
          <t>2025-11-10</t>
        </is>
      </c>
      <c r="C78" s="12" t="inlineStr">
        <is>
          <t>19:00</t>
        </is>
      </c>
      <c r="D78" s="12" t="inlineStr">
        <is>
          <t>Monday</t>
        </is>
      </c>
      <c r="E78" s="12" t="n">
        <v>76</v>
      </c>
      <c r="F78" s="27" t="n">
        <v>68400</v>
      </c>
      <c r="G78" s="27" t="n">
        <v>19</v>
      </c>
      <c r="H78" s="39" t="n">
        <v>4.112</v>
      </c>
      <c r="I78" s="40">
        <f>H78*0.25</f>
        <v/>
      </c>
      <c r="J78" s="34">
        <f>J77+I78</f>
        <v/>
      </c>
      <c r="K78" s="12" t="inlineStr">
        <is>
          <t>Valid (Smart Meter)</t>
        </is>
      </c>
      <c r="L78" s="28" t="inlineStr">
        <is>
          <t>Dinner cooking (Oven / Induction hob)</t>
        </is>
      </c>
    </row>
    <row r="79">
      <c r="A79" s="12" t="inlineStr">
        <is>
          <t>2025-11-10 19:15:00</t>
        </is>
      </c>
      <c r="B79" s="12" t="inlineStr">
        <is>
          <t>2025-11-10</t>
        </is>
      </c>
      <c r="C79" s="12" t="inlineStr">
        <is>
          <t>19:15</t>
        </is>
      </c>
      <c r="D79" s="12" t="inlineStr">
        <is>
          <t>Monday</t>
        </is>
      </c>
      <c r="E79" s="12" t="n">
        <v>77</v>
      </c>
      <c r="F79" s="27" t="n">
        <v>69300</v>
      </c>
      <c r="G79" s="27" t="n">
        <v>19.25</v>
      </c>
      <c r="H79" s="39" t="n">
        <v>4.531</v>
      </c>
      <c r="I79" s="40">
        <f>H79*0.25</f>
        <v/>
      </c>
      <c r="J79" s="34">
        <f>J78+I79</f>
        <v/>
      </c>
      <c r="K79" s="12" t="inlineStr">
        <is>
          <t>Valid (Smart Meter)</t>
        </is>
      </c>
      <c r="L79" s="28" t="inlineStr">
        <is>
          <t>Dinner cooking (Oven / Induction hob)</t>
        </is>
      </c>
    </row>
    <row r="80">
      <c r="A80" s="12" t="inlineStr">
        <is>
          <t>2025-11-10 19:30:00</t>
        </is>
      </c>
      <c r="B80" s="12" t="inlineStr">
        <is>
          <t>2025-11-10</t>
        </is>
      </c>
      <c r="C80" s="12" t="inlineStr">
        <is>
          <t>19:30</t>
        </is>
      </c>
      <c r="D80" s="12" t="inlineStr">
        <is>
          <t>Monday</t>
        </is>
      </c>
      <c r="E80" s="12" t="n">
        <v>78</v>
      </c>
      <c r="F80" s="27" t="n">
        <v>70200</v>
      </c>
      <c r="G80" s="27" t="n">
        <v>19.5</v>
      </c>
      <c r="H80" s="39" t="n">
        <v>4.555</v>
      </c>
      <c r="I80" s="40">
        <f>H80*0.25</f>
        <v/>
      </c>
      <c r="J80" s="34">
        <f>J79+I80</f>
        <v/>
      </c>
      <c r="K80" s="12" t="inlineStr">
        <is>
          <t>Valid (Smart Meter)</t>
        </is>
      </c>
      <c r="L80" s="28" t="inlineStr">
        <is>
          <t>Dinner cooking (Oven / Induction hob)</t>
        </is>
      </c>
    </row>
    <row r="81">
      <c r="A81" s="12" t="inlineStr">
        <is>
          <t>2025-11-10 19:45:00</t>
        </is>
      </c>
      <c r="B81" s="12" t="inlineStr">
        <is>
          <t>2025-11-10</t>
        </is>
      </c>
      <c r="C81" s="12" t="inlineStr">
        <is>
          <t>19:45</t>
        </is>
      </c>
      <c r="D81" s="12" t="inlineStr">
        <is>
          <t>Monday</t>
        </is>
      </c>
      <c r="E81" s="12" t="n">
        <v>79</v>
      </c>
      <c r="F81" s="27" t="n">
        <v>71100</v>
      </c>
      <c r="G81" s="27" t="n">
        <v>19.75</v>
      </c>
      <c r="H81" s="39" t="n">
        <v>1.971</v>
      </c>
      <c r="I81" s="40">
        <f>H81*0.25</f>
        <v/>
      </c>
      <c r="J81" s="34">
        <f>J80+I81</f>
        <v/>
      </c>
      <c r="K81" s="12" t="inlineStr">
        <is>
          <t>Valid (Smart Meter)</t>
        </is>
      </c>
      <c r="L81" s="28" t="inlineStr">
        <is>
          <t>Evening living / Lighting / Heat</t>
        </is>
      </c>
    </row>
    <row r="82">
      <c r="A82" s="15" t="inlineStr">
        <is>
          <t>2025-11-10 20:00:00</t>
        </is>
      </c>
      <c r="B82" s="15" t="inlineStr">
        <is>
          <t>2025-11-10</t>
        </is>
      </c>
      <c r="C82" s="15" t="inlineStr">
        <is>
          <t>20:00</t>
        </is>
      </c>
      <c r="D82" s="15" t="inlineStr">
        <is>
          <t>Monday</t>
        </is>
      </c>
      <c r="E82" s="15" t="n">
        <v>80</v>
      </c>
      <c r="F82" s="25" t="n">
        <v>72000</v>
      </c>
      <c r="G82" s="25" t="n">
        <v>20</v>
      </c>
      <c r="H82" s="37" t="n">
        <v>3.518</v>
      </c>
      <c r="I82" s="38">
        <f>H82*0.25</f>
        <v/>
      </c>
      <c r="J82" s="35">
        <f>J81+I82</f>
        <v/>
      </c>
      <c r="K82" s="15" t="inlineStr">
        <is>
          <t>Valid (Smart Meter)</t>
        </is>
      </c>
      <c r="L82" s="26" t="inlineStr">
        <is>
          <t>Dishwasher cycle / TV</t>
        </is>
      </c>
    </row>
    <row r="83">
      <c r="A83" s="15" t="inlineStr">
        <is>
          <t>2025-11-10 20:15:00</t>
        </is>
      </c>
      <c r="B83" s="15" t="inlineStr">
        <is>
          <t>2025-11-10</t>
        </is>
      </c>
      <c r="C83" s="15" t="inlineStr">
        <is>
          <t>20:15</t>
        </is>
      </c>
      <c r="D83" s="15" t="inlineStr">
        <is>
          <t>Monday</t>
        </is>
      </c>
      <c r="E83" s="15" t="n">
        <v>81</v>
      </c>
      <c r="F83" s="25" t="n">
        <v>72900</v>
      </c>
      <c r="G83" s="25" t="n">
        <v>20.25</v>
      </c>
      <c r="H83" s="37" t="n">
        <v>3.299</v>
      </c>
      <c r="I83" s="38">
        <f>H83*0.25</f>
        <v/>
      </c>
      <c r="J83" s="35">
        <f>J82+I83</f>
        <v/>
      </c>
      <c r="K83" s="15" t="inlineStr">
        <is>
          <t>Valid (Smart Meter)</t>
        </is>
      </c>
      <c r="L83" s="26" t="inlineStr">
        <is>
          <t>Dishwasher cycle / TV</t>
        </is>
      </c>
    </row>
    <row r="84">
      <c r="A84" s="15" t="inlineStr">
        <is>
          <t>2025-11-10 20:30:00</t>
        </is>
      </c>
      <c r="B84" s="15" t="inlineStr">
        <is>
          <t>2025-11-10</t>
        </is>
      </c>
      <c r="C84" s="15" t="inlineStr">
        <is>
          <t>20:30</t>
        </is>
      </c>
      <c r="D84" s="15" t="inlineStr">
        <is>
          <t>Monday</t>
        </is>
      </c>
      <c r="E84" s="15" t="n">
        <v>82</v>
      </c>
      <c r="F84" s="25" t="n">
        <v>73800</v>
      </c>
      <c r="G84" s="25" t="n">
        <v>20.5</v>
      </c>
      <c r="H84" s="37" t="n">
        <v>3.398</v>
      </c>
      <c r="I84" s="38">
        <f>H84*0.25</f>
        <v/>
      </c>
      <c r="J84" s="35">
        <f>J83+I84</f>
        <v/>
      </c>
      <c r="K84" s="15" t="inlineStr">
        <is>
          <t>Valid (Smart Meter)</t>
        </is>
      </c>
      <c r="L84" s="26" t="inlineStr">
        <is>
          <t>Dishwasher cycle / TV</t>
        </is>
      </c>
    </row>
    <row r="85">
      <c r="A85" s="15" t="inlineStr">
        <is>
          <t>2025-11-10 20:45:00</t>
        </is>
      </c>
      <c r="B85" s="15" t="inlineStr">
        <is>
          <t>2025-11-10</t>
        </is>
      </c>
      <c r="C85" s="15" t="inlineStr">
        <is>
          <t>20:45</t>
        </is>
      </c>
      <c r="D85" s="15" t="inlineStr">
        <is>
          <t>Monday</t>
        </is>
      </c>
      <c r="E85" s="15" t="n">
        <v>83</v>
      </c>
      <c r="F85" s="25" t="n">
        <v>74700</v>
      </c>
      <c r="G85" s="25" t="n">
        <v>20.75</v>
      </c>
      <c r="H85" s="37" t="n">
        <v>3.632</v>
      </c>
      <c r="I85" s="38">
        <f>H85*0.25</f>
        <v/>
      </c>
      <c r="J85" s="35">
        <f>J84+I85</f>
        <v/>
      </c>
      <c r="K85" s="15" t="inlineStr">
        <is>
          <t>Valid (Smart Meter)</t>
        </is>
      </c>
      <c r="L85" s="26" t="inlineStr">
        <is>
          <t>Dishwasher cycle / TV</t>
        </is>
      </c>
    </row>
    <row r="86">
      <c r="A86" s="12" t="inlineStr">
        <is>
          <t>2025-11-10 21:00:00</t>
        </is>
      </c>
      <c r="B86" s="12" t="inlineStr">
        <is>
          <t>2025-11-10</t>
        </is>
      </c>
      <c r="C86" s="12" t="inlineStr">
        <is>
          <t>21:00</t>
        </is>
      </c>
      <c r="D86" s="12" t="inlineStr">
        <is>
          <t>Monday</t>
        </is>
      </c>
      <c r="E86" s="12" t="n">
        <v>84</v>
      </c>
      <c r="F86" s="27" t="n">
        <v>75600</v>
      </c>
      <c r="G86" s="27" t="n">
        <v>21</v>
      </c>
      <c r="H86" s="39" t="n">
        <v>3.615</v>
      </c>
      <c r="I86" s="40">
        <f>H86*0.25</f>
        <v/>
      </c>
      <c r="J86" s="34">
        <f>J85+I86</f>
        <v/>
      </c>
      <c r="K86" s="12" t="inlineStr">
        <is>
          <t>Valid (Smart Meter)</t>
        </is>
      </c>
      <c r="L86" s="28" t="inlineStr">
        <is>
          <t>Dishwasher cycle / TV</t>
        </is>
      </c>
    </row>
    <row r="87">
      <c r="A87" s="12" t="inlineStr">
        <is>
          <t>2025-11-10 21:15:00</t>
        </is>
      </c>
      <c r="B87" s="12" t="inlineStr">
        <is>
          <t>2025-11-10</t>
        </is>
      </c>
      <c r="C87" s="12" t="inlineStr">
        <is>
          <t>21:15</t>
        </is>
      </c>
      <c r="D87" s="12" t="inlineStr">
        <is>
          <t>Monday</t>
        </is>
      </c>
      <c r="E87" s="12" t="n">
        <v>85</v>
      </c>
      <c r="F87" s="27" t="n">
        <v>76500</v>
      </c>
      <c r="G87" s="27" t="n">
        <v>21.25</v>
      </c>
      <c r="H87" s="39" t="n">
        <v>3.422</v>
      </c>
      <c r="I87" s="40">
        <f>H87*0.25</f>
        <v/>
      </c>
      <c r="J87" s="34">
        <f>J86+I87</f>
        <v/>
      </c>
      <c r="K87" s="12" t="inlineStr">
        <is>
          <t>Valid (Smart Meter)</t>
        </is>
      </c>
      <c r="L87" s="28" t="inlineStr">
        <is>
          <t>Dishwasher cycle / TV</t>
        </is>
      </c>
    </row>
    <row r="88">
      <c r="A88" s="12" t="inlineStr">
        <is>
          <t>2025-11-10 21:30:00</t>
        </is>
      </c>
      <c r="B88" s="12" t="inlineStr">
        <is>
          <t>2025-11-10</t>
        </is>
      </c>
      <c r="C88" s="12" t="inlineStr">
        <is>
          <t>21:30</t>
        </is>
      </c>
      <c r="D88" s="12" t="inlineStr">
        <is>
          <t>Monday</t>
        </is>
      </c>
      <c r="E88" s="12" t="n">
        <v>86</v>
      </c>
      <c r="F88" s="27" t="n">
        <v>77400</v>
      </c>
      <c r="G88" s="27" t="n">
        <v>21.5</v>
      </c>
      <c r="H88" s="39" t="n">
        <v>3.515</v>
      </c>
      <c r="I88" s="40">
        <f>H88*0.25</f>
        <v/>
      </c>
      <c r="J88" s="34">
        <f>J87+I88</f>
        <v/>
      </c>
      <c r="K88" s="12" t="inlineStr">
        <is>
          <t>Valid (Smart Meter)</t>
        </is>
      </c>
      <c r="L88" s="28" t="inlineStr">
        <is>
          <t>Dishwasher cycle / TV</t>
        </is>
      </c>
    </row>
    <row r="89">
      <c r="A89" s="12" t="inlineStr">
        <is>
          <t>2025-11-10 21:45:00</t>
        </is>
      </c>
      <c r="B89" s="12" t="inlineStr">
        <is>
          <t>2025-11-10</t>
        </is>
      </c>
      <c r="C89" s="12" t="inlineStr">
        <is>
          <t>21:45</t>
        </is>
      </c>
      <c r="D89" s="12" t="inlineStr">
        <is>
          <t>Monday</t>
        </is>
      </c>
      <c r="E89" s="12" t="n">
        <v>87</v>
      </c>
      <c r="F89" s="27" t="n">
        <v>78300</v>
      </c>
      <c r="G89" s="27" t="n">
        <v>21.75</v>
      </c>
      <c r="H89" s="39" t="n">
        <v>1.961</v>
      </c>
      <c r="I89" s="40">
        <f>H89*0.25</f>
        <v/>
      </c>
      <c r="J89" s="34">
        <f>J88+I89</f>
        <v/>
      </c>
      <c r="K89" s="12" t="inlineStr">
        <is>
          <t>Valid (Smart Meter)</t>
        </is>
      </c>
      <c r="L89" s="28" t="inlineStr">
        <is>
          <t>Evening living / Lighting / Heat</t>
        </is>
      </c>
    </row>
    <row r="90">
      <c r="A90" s="15" t="inlineStr">
        <is>
          <t>2025-11-10 22:00:00</t>
        </is>
      </c>
      <c r="B90" s="15" t="inlineStr">
        <is>
          <t>2025-11-10</t>
        </is>
      </c>
      <c r="C90" s="15" t="inlineStr">
        <is>
          <t>22:00</t>
        </is>
      </c>
      <c r="D90" s="15" t="inlineStr">
        <is>
          <t>Monday</t>
        </is>
      </c>
      <c r="E90" s="15" t="n">
        <v>88</v>
      </c>
      <c r="F90" s="25" t="n">
        <v>79200</v>
      </c>
      <c r="G90" s="25" t="n">
        <v>22</v>
      </c>
      <c r="H90" s="37" t="n">
        <v>1.885</v>
      </c>
      <c r="I90" s="38">
        <f>H90*0.25</f>
        <v/>
      </c>
      <c r="J90" s="35">
        <f>J89+I90</f>
        <v/>
      </c>
      <c r="K90" s="15" t="inlineStr">
        <is>
          <t>Valid (Smart Meter)</t>
        </is>
      </c>
      <c r="L90" s="26" t="inlineStr">
        <is>
          <t>Evening living / Lighting / Heat</t>
        </is>
      </c>
    </row>
    <row r="91">
      <c r="A91" s="15" t="inlineStr">
        <is>
          <t>2025-11-10 22:15:00</t>
        </is>
      </c>
      <c r="B91" s="15" t="inlineStr">
        <is>
          <t>2025-11-10</t>
        </is>
      </c>
      <c r="C91" s="15" t="inlineStr">
        <is>
          <t>22:15</t>
        </is>
      </c>
      <c r="D91" s="15" t="inlineStr">
        <is>
          <t>Monday</t>
        </is>
      </c>
      <c r="E91" s="15" t="n">
        <v>89</v>
      </c>
      <c r="F91" s="25" t="n">
        <v>80100</v>
      </c>
      <c r="G91" s="25" t="n">
        <v>22.25</v>
      </c>
      <c r="H91" s="37" t="n">
        <v>1.834</v>
      </c>
      <c r="I91" s="38">
        <f>H91*0.25</f>
        <v/>
      </c>
      <c r="J91" s="35">
        <f>J90+I91</f>
        <v/>
      </c>
      <c r="K91" s="15" t="inlineStr">
        <is>
          <t>Valid (Smart Meter)</t>
        </is>
      </c>
      <c r="L91" s="26" t="inlineStr">
        <is>
          <t>Evening living / Lighting / Heat</t>
        </is>
      </c>
    </row>
    <row r="92">
      <c r="A92" s="15" t="inlineStr">
        <is>
          <t>2025-11-10 22:30:00</t>
        </is>
      </c>
      <c r="B92" s="15" t="inlineStr">
        <is>
          <t>2025-11-10</t>
        </is>
      </c>
      <c r="C92" s="15" t="inlineStr">
        <is>
          <t>22:30</t>
        </is>
      </c>
      <c r="D92" s="15" t="inlineStr">
        <is>
          <t>Monday</t>
        </is>
      </c>
      <c r="E92" s="15" t="n">
        <v>90</v>
      </c>
      <c r="F92" s="25" t="n">
        <v>81000</v>
      </c>
      <c r="G92" s="25" t="n">
        <v>22.5</v>
      </c>
      <c r="H92" s="37" t="n">
        <v>1.851</v>
      </c>
      <c r="I92" s="38">
        <f>H92*0.25</f>
        <v/>
      </c>
      <c r="J92" s="35">
        <f>J91+I92</f>
        <v/>
      </c>
      <c r="K92" s="15" t="inlineStr">
        <is>
          <t>Valid (Smart Meter)</t>
        </is>
      </c>
      <c r="L92" s="26" t="inlineStr">
        <is>
          <t>Evening living / Lighting / Heat</t>
        </is>
      </c>
    </row>
    <row r="93">
      <c r="A93" s="15" t="inlineStr">
        <is>
          <t>2025-11-10 22:45:00</t>
        </is>
      </c>
      <c r="B93" s="15" t="inlineStr">
        <is>
          <t>2025-11-10</t>
        </is>
      </c>
      <c r="C93" s="15" t="inlineStr">
        <is>
          <t>22:45</t>
        </is>
      </c>
      <c r="D93" s="15" t="inlineStr">
        <is>
          <t>Monday</t>
        </is>
      </c>
      <c r="E93" s="15" t="n">
        <v>91</v>
      </c>
      <c r="F93" s="25" t="n">
        <v>81900</v>
      </c>
      <c r="G93" s="25" t="n">
        <v>22.75</v>
      </c>
      <c r="H93" s="37" t="n">
        <v>0.6919999999999999</v>
      </c>
      <c r="I93" s="38">
        <f>H93*0.25</f>
        <v/>
      </c>
      <c r="J93" s="35">
        <f>J92+I93</f>
        <v/>
      </c>
      <c r="K93" s="15" t="inlineStr">
        <is>
          <t>Valid (Smart Meter)</t>
        </is>
      </c>
      <c r="L93" s="26" t="inlineStr">
        <is>
          <t>Night baseload / Heating</t>
        </is>
      </c>
    </row>
    <row r="94">
      <c r="A94" s="12" t="inlineStr">
        <is>
          <t>2025-11-10 23:00:00</t>
        </is>
      </c>
      <c r="B94" s="12" t="inlineStr">
        <is>
          <t>2025-11-10</t>
        </is>
      </c>
      <c r="C94" s="12" t="inlineStr">
        <is>
          <t>23:00</t>
        </is>
      </c>
      <c r="D94" s="12" t="inlineStr">
        <is>
          <t>Monday</t>
        </is>
      </c>
      <c r="E94" s="12" t="n">
        <v>92</v>
      </c>
      <c r="F94" s="27" t="n">
        <v>82800</v>
      </c>
      <c r="G94" s="27" t="n">
        <v>23</v>
      </c>
      <c r="H94" s="39" t="n">
        <v>0.625</v>
      </c>
      <c r="I94" s="40">
        <f>H94*0.25</f>
        <v/>
      </c>
      <c r="J94" s="34">
        <f>J93+I94</f>
        <v/>
      </c>
      <c r="K94" s="12" t="inlineStr">
        <is>
          <t>Valid (Smart Meter)</t>
        </is>
      </c>
      <c r="L94" s="28" t="inlineStr">
        <is>
          <t>Night baseload / Heating</t>
        </is>
      </c>
    </row>
    <row r="95">
      <c r="A95" s="12" t="inlineStr">
        <is>
          <t>2025-11-10 23:15:00</t>
        </is>
      </c>
      <c r="B95" s="12" t="inlineStr">
        <is>
          <t>2025-11-10</t>
        </is>
      </c>
      <c r="C95" s="12" t="inlineStr">
        <is>
          <t>23:15</t>
        </is>
      </c>
      <c r="D95" s="12" t="inlineStr">
        <is>
          <t>Monday</t>
        </is>
      </c>
      <c r="E95" s="12" t="n">
        <v>93</v>
      </c>
      <c r="F95" s="27" t="n">
        <v>83700</v>
      </c>
      <c r="G95" s="27" t="n">
        <v>23.25</v>
      </c>
      <c r="H95" s="39" t="n">
        <v>0.618</v>
      </c>
      <c r="I95" s="40">
        <f>H95*0.25</f>
        <v/>
      </c>
      <c r="J95" s="34">
        <f>J94+I95</f>
        <v/>
      </c>
      <c r="K95" s="12" t="inlineStr">
        <is>
          <t>Valid (Smart Meter)</t>
        </is>
      </c>
      <c r="L95" s="28" t="inlineStr">
        <is>
          <t>Night baseload / Heating</t>
        </is>
      </c>
    </row>
    <row r="96">
      <c r="A96" s="12" t="inlineStr">
        <is>
          <t>2025-11-10 23:30:00</t>
        </is>
      </c>
      <c r="B96" s="12" t="inlineStr">
        <is>
          <t>2025-11-10</t>
        </is>
      </c>
      <c r="C96" s="12" t="inlineStr">
        <is>
          <t>23:30</t>
        </is>
      </c>
      <c r="D96" s="12" t="inlineStr">
        <is>
          <t>Monday</t>
        </is>
      </c>
      <c r="E96" s="12" t="n">
        <v>94</v>
      </c>
      <c r="F96" s="27" t="n">
        <v>84600</v>
      </c>
      <c r="G96" s="27" t="n">
        <v>23.5</v>
      </c>
      <c r="H96" s="39" t="n">
        <v>0.583</v>
      </c>
      <c r="I96" s="40">
        <f>H96*0.25</f>
        <v/>
      </c>
      <c r="J96" s="34">
        <f>J95+I96</f>
        <v/>
      </c>
      <c r="K96" s="12" t="inlineStr">
        <is>
          <t>Valid (Smart Meter)</t>
        </is>
      </c>
      <c r="L96" s="28" t="inlineStr">
        <is>
          <t>Night baseload / Heating</t>
        </is>
      </c>
    </row>
    <row r="97">
      <c r="A97" s="12" t="inlineStr">
        <is>
          <t>2025-11-10 23:45:00</t>
        </is>
      </c>
      <c r="B97" s="12" t="inlineStr">
        <is>
          <t>2025-11-10</t>
        </is>
      </c>
      <c r="C97" s="12" t="inlineStr">
        <is>
          <t>23:45</t>
        </is>
      </c>
      <c r="D97" s="12" t="inlineStr">
        <is>
          <t>Monday</t>
        </is>
      </c>
      <c r="E97" s="12" t="n">
        <v>95</v>
      </c>
      <c r="F97" s="27" t="n">
        <v>85500</v>
      </c>
      <c r="G97" s="27" t="n">
        <v>23.75</v>
      </c>
      <c r="H97" s="39" t="n">
        <v>0.681</v>
      </c>
      <c r="I97" s="40">
        <f>H97*0.25</f>
        <v/>
      </c>
      <c r="J97" s="34">
        <f>J96+I97</f>
        <v/>
      </c>
      <c r="K97" s="12" t="inlineStr">
        <is>
          <t>Valid (Smart Meter)</t>
        </is>
      </c>
      <c r="L97" s="28" t="inlineStr">
        <is>
          <t>Night baseload / Heating</t>
        </is>
      </c>
    </row>
    <row r="98">
      <c r="A98" s="15" t="inlineStr">
        <is>
          <t>2025-11-11 00:00:00</t>
        </is>
      </c>
      <c r="B98" s="15" t="inlineStr">
        <is>
          <t>2025-11-11</t>
        </is>
      </c>
      <c r="C98" s="15" t="inlineStr">
        <is>
          <t>00:00</t>
        </is>
      </c>
      <c r="D98" s="15" t="inlineStr">
        <is>
          <t>Tuesday</t>
        </is>
      </c>
      <c r="E98" s="15" t="n">
        <v>96</v>
      </c>
      <c r="F98" s="25" t="n">
        <v>86400</v>
      </c>
      <c r="G98" s="25" t="n">
        <v>24</v>
      </c>
      <c r="H98" s="37" t="n">
        <v>0.638</v>
      </c>
      <c r="I98" s="38">
        <f>H98*0.25</f>
        <v/>
      </c>
      <c r="J98" s="35">
        <f>J97+I98</f>
        <v/>
      </c>
      <c r="K98" s="15" t="inlineStr">
        <is>
          <t>Valid (Smart Meter)</t>
        </is>
      </c>
      <c r="L98" s="26" t="inlineStr">
        <is>
          <t>Night baseload / Heating</t>
        </is>
      </c>
    </row>
    <row r="99">
      <c r="A99" s="15" t="inlineStr">
        <is>
          <t>2025-11-11 00:15:00</t>
        </is>
      </c>
      <c r="B99" s="15" t="inlineStr">
        <is>
          <t>2025-11-11</t>
        </is>
      </c>
      <c r="C99" s="15" t="inlineStr">
        <is>
          <t>00:15</t>
        </is>
      </c>
      <c r="D99" s="15" t="inlineStr">
        <is>
          <t>Tuesday</t>
        </is>
      </c>
      <c r="E99" s="15" t="n">
        <v>97</v>
      </c>
      <c r="F99" s="25" t="n">
        <v>87300</v>
      </c>
      <c r="G99" s="25" t="n">
        <v>24.25</v>
      </c>
      <c r="H99" s="37" t="n">
        <v>0.672</v>
      </c>
      <c r="I99" s="38">
        <f>H99*0.25</f>
        <v/>
      </c>
      <c r="J99" s="35">
        <f>J98+I99</f>
        <v/>
      </c>
      <c r="K99" s="15" t="inlineStr">
        <is>
          <t>Valid (Smart Meter)</t>
        </is>
      </c>
      <c r="L99" s="26" t="inlineStr">
        <is>
          <t>Night baseload / Heating</t>
        </is>
      </c>
    </row>
    <row r="100">
      <c r="A100" s="15" t="inlineStr">
        <is>
          <t>2025-11-11 00:30:00</t>
        </is>
      </c>
      <c r="B100" s="15" t="inlineStr">
        <is>
          <t>2025-11-11</t>
        </is>
      </c>
      <c r="C100" s="15" t="inlineStr">
        <is>
          <t>00:30</t>
        </is>
      </c>
      <c r="D100" s="15" t="inlineStr">
        <is>
          <t>Tuesday</t>
        </is>
      </c>
      <c r="E100" s="15" t="n">
        <v>98</v>
      </c>
      <c r="F100" s="25" t="n">
        <v>88200</v>
      </c>
      <c r="G100" s="25" t="n">
        <v>24.5</v>
      </c>
      <c r="H100" s="37" t="n">
        <v>0.609</v>
      </c>
      <c r="I100" s="38">
        <f>H100*0.25</f>
        <v/>
      </c>
      <c r="J100" s="35">
        <f>J99+I100</f>
        <v/>
      </c>
      <c r="K100" s="15" t="inlineStr">
        <is>
          <t>Valid (Smart Meter)</t>
        </is>
      </c>
      <c r="L100" s="26" t="inlineStr">
        <is>
          <t>Night baseload / Heating</t>
        </is>
      </c>
    </row>
    <row r="101">
      <c r="A101" s="15" t="inlineStr">
        <is>
          <t>2025-11-11 00:45:00</t>
        </is>
      </c>
      <c r="B101" s="15" t="inlineStr">
        <is>
          <t>2025-11-11</t>
        </is>
      </c>
      <c r="C101" s="15" t="inlineStr">
        <is>
          <t>00:45</t>
        </is>
      </c>
      <c r="D101" s="15" t="inlineStr">
        <is>
          <t>Tuesday</t>
        </is>
      </c>
      <c r="E101" s="15" t="n">
        <v>99</v>
      </c>
      <c r="F101" s="25" t="n">
        <v>89100</v>
      </c>
      <c r="G101" s="25" t="n">
        <v>24.75</v>
      </c>
      <c r="H101" s="37" t="n">
        <v>0.663</v>
      </c>
      <c r="I101" s="38">
        <f>H101*0.25</f>
        <v/>
      </c>
      <c r="J101" s="35">
        <f>J100+I101</f>
        <v/>
      </c>
      <c r="K101" s="15" t="inlineStr">
        <is>
          <t>Valid (Smart Meter)</t>
        </is>
      </c>
      <c r="L101" s="26" t="inlineStr">
        <is>
          <t>Night baseload / Heating</t>
        </is>
      </c>
    </row>
    <row r="102">
      <c r="A102" s="12" t="inlineStr">
        <is>
          <t>2025-11-11 01:00:00</t>
        </is>
      </c>
      <c r="B102" s="12" t="inlineStr">
        <is>
          <t>2025-11-11</t>
        </is>
      </c>
      <c r="C102" s="12" t="inlineStr">
        <is>
          <t>01:00</t>
        </is>
      </c>
      <c r="D102" s="12" t="inlineStr">
        <is>
          <t>Tuesday</t>
        </is>
      </c>
      <c r="E102" s="12" t="n">
        <v>100</v>
      </c>
      <c r="F102" s="27" t="n">
        <v>90000</v>
      </c>
      <c r="G102" s="27" t="n">
        <v>25</v>
      </c>
      <c r="H102" s="39" t="n">
        <v>0.737</v>
      </c>
      <c r="I102" s="40">
        <f>H102*0.25</f>
        <v/>
      </c>
      <c r="J102" s="34">
        <f>J101+I102</f>
        <v/>
      </c>
      <c r="K102" s="12" t="inlineStr">
        <is>
          <t>Valid (Smart Meter)</t>
        </is>
      </c>
      <c r="L102" s="28" t="inlineStr">
        <is>
          <t>Night baseload / Heating</t>
        </is>
      </c>
    </row>
    <row r="103">
      <c r="A103" s="12" t="inlineStr">
        <is>
          <t>2025-11-11 01:15:00</t>
        </is>
      </c>
      <c r="B103" s="12" t="inlineStr">
        <is>
          <t>2025-11-11</t>
        </is>
      </c>
      <c r="C103" s="12" t="inlineStr">
        <is>
          <t>01:15</t>
        </is>
      </c>
      <c r="D103" s="12" t="inlineStr">
        <is>
          <t>Tuesday</t>
        </is>
      </c>
      <c r="E103" s="12" t="n">
        <v>101</v>
      </c>
      <c r="F103" s="27" t="n">
        <v>90900</v>
      </c>
      <c r="G103" s="27" t="n">
        <v>25.25</v>
      </c>
      <c r="H103" s="39" t="n">
        <v>0.577</v>
      </c>
      <c r="I103" s="40">
        <f>H103*0.25</f>
        <v/>
      </c>
      <c r="J103" s="34">
        <f>J102+I103</f>
        <v/>
      </c>
      <c r="K103" s="12" t="inlineStr">
        <is>
          <t>Valid (Smart Meter)</t>
        </is>
      </c>
      <c r="L103" s="28" t="inlineStr">
        <is>
          <t>Night baseload / Heating</t>
        </is>
      </c>
    </row>
    <row r="104">
      <c r="A104" s="12" t="inlineStr">
        <is>
          <t>2025-11-11 01:30:00</t>
        </is>
      </c>
      <c r="B104" s="12" t="inlineStr">
        <is>
          <t>2025-11-11</t>
        </is>
      </c>
      <c r="C104" s="12" t="inlineStr">
        <is>
          <t>01:30</t>
        </is>
      </c>
      <c r="D104" s="12" t="inlineStr">
        <is>
          <t>Tuesday</t>
        </is>
      </c>
      <c r="E104" s="12" t="n">
        <v>102</v>
      </c>
      <c r="F104" s="27" t="n">
        <v>91800</v>
      </c>
      <c r="G104" s="27" t="n">
        <v>25.5</v>
      </c>
      <c r="H104" s="39" t="n">
        <v>0.629</v>
      </c>
      <c r="I104" s="40">
        <f>H104*0.25</f>
        <v/>
      </c>
      <c r="J104" s="34">
        <f>J103+I104</f>
        <v/>
      </c>
      <c r="K104" s="12" t="inlineStr">
        <is>
          <t>Valid (Smart Meter)</t>
        </is>
      </c>
      <c r="L104" s="28" t="inlineStr">
        <is>
          <t>Night baseload / Heating</t>
        </is>
      </c>
    </row>
    <row r="105">
      <c r="A105" s="12" t="inlineStr">
        <is>
          <t>2025-11-11 01:45:00</t>
        </is>
      </c>
      <c r="B105" s="12" t="inlineStr">
        <is>
          <t>2025-11-11</t>
        </is>
      </c>
      <c r="C105" s="12" t="inlineStr">
        <is>
          <t>01:45</t>
        </is>
      </c>
      <c r="D105" s="12" t="inlineStr">
        <is>
          <t>Tuesday</t>
        </is>
      </c>
      <c r="E105" s="12" t="n">
        <v>103</v>
      </c>
      <c r="F105" s="27" t="n">
        <v>92700</v>
      </c>
      <c r="G105" s="27" t="n">
        <v>25.75</v>
      </c>
      <c r="H105" s="39" t="n">
        <v>0.632</v>
      </c>
      <c r="I105" s="40">
        <f>H105*0.25</f>
        <v/>
      </c>
      <c r="J105" s="34">
        <f>J104+I105</f>
        <v/>
      </c>
      <c r="K105" s="12" t="inlineStr">
        <is>
          <t>Valid (Smart Meter)</t>
        </is>
      </c>
      <c r="L105" s="28" t="inlineStr">
        <is>
          <t>Night baseload / Heating</t>
        </is>
      </c>
    </row>
    <row r="106">
      <c r="A106" s="15" t="inlineStr">
        <is>
          <t>2025-11-11 02:00:00</t>
        </is>
      </c>
      <c r="B106" s="15" t="inlineStr">
        <is>
          <t>2025-11-11</t>
        </is>
      </c>
      <c r="C106" s="15" t="inlineStr">
        <is>
          <t>02:00</t>
        </is>
      </c>
      <c r="D106" s="15" t="inlineStr">
        <is>
          <t>Tuesday</t>
        </is>
      </c>
      <c r="E106" s="15" t="n">
        <v>104</v>
      </c>
      <c r="F106" s="25" t="n">
        <v>93600</v>
      </c>
      <c r="G106" s="25" t="n">
        <v>26</v>
      </c>
      <c r="H106" s="37" t="n">
        <v>0.545</v>
      </c>
      <c r="I106" s="38">
        <f>H106*0.25</f>
        <v/>
      </c>
      <c r="J106" s="35">
        <f>J105+I106</f>
        <v/>
      </c>
      <c r="K106" s="15" t="inlineStr">
        <is>
          <t>Valid (Smart Meter)</t>
        </is>
      </c>
      <c r="L106" s="26" t="inlineStr">
        <is>
          <t>Night baseload / Heating</t>
        </is>
      </c>
    </row>
    <row r="107">
      <c r="A107" s="15" t="inlineStr">
        <is>
          <t>2025-11-11 02:15:00</t>
        </is>
      </c>
      <c r="B107" s="15" t="inlineStr">
        <is>
          <t>2025-11-11</t>
        </is>
      </c>
      <c r="C107" s="15" t="inlineStr">
        <is>
          <t>02:15</t>
        </is>
      </c>
      <c r="D107" s="15" t="inlineStr">
        <is>
          <t>Tuesday</t>
        </is>
      </c>
      <c r="E107" s="15" t="n">
        <v>105</v>
      </c>
      <c r="F107" s="25" t="n">
        <v>94500</v>
      </c>
      <c r="G107" s="25" t="n">
        <v>26.25</v>
      </c>
      <c r="H107" s="37" t="n">
        <v>0.5669999999999999</v>
      </c>
      <c r="I107" s="38">
        <f>H107*0.25</f>
        <v/>
      </c>
      <c r="J107" s="35">
        <f>J106+I107</f>
        <v/>
      </c>
      <c r="K107" s="15" t="inlineStr">
        <is>
          <t>Valid (Smart Meter)</t>
        </is>
      </c>
      <c r="L107" s="26" t="inlineStr">
        <is>
          <t>Night baseload / Heating</t>
        </is>
      </c>
    </row>
    <row r="108">
      <c r="A108" s="15" t="inlineStr">
        <is>
          <t>2025-11-11 02:30:00</t>
        </is>
      </c>
      <c r="B108" s="15" t="inlineStr">
        <is>
          <t>2025-11-11</t>
        </is>
      </c>
      <c r="C108" s="15" t="inlineStr">
        <is>
          <t>02:30</t>
        </is>
      </c>
      <c r="D108" s="15" t="inlineStr">
        <is>
          <t>Tuesday</t>
        </is>
      </c>
      <c r="E108" s="15" t="n">
        <v>106</v>
      </c>
      <c r="F108" s="25" t="n">
        <v>95400</v>
      </c>
      <c r="G108" s="25" t="n">
        <v>26.5</v>
      </c>
      <c r="H108" s="37" t="n">
        <v>0.474</v>
      </c>
      <c r="I108" s="38">
        <f>H108*0.25</f>
        <v/>
      </c>
      <c r="J108" s="35">
        <f>J107+I108</f>
        <v/>
      </c>
      <c r="K108" s="15" t="inlineStr">
        <is>
          <t>Valid (Smart Meter)</t>
        </is>
      </c>
      <c r="L108" s="26" t="inlineStr">
        <is>
          <t>Night baseload / Heating</t>
        </is>
      </c>
    </row>
    <row r="109">
      <c r="A109" s="15" t="inlineStr">
        <is>
          <t>2025-11-11 02:45:00</t>
        </is>
      </c>
      <c r="B109" s="15" t="inlineStr">
        <is>
          <t>2025-11-11</t>
        </is>
      </c>
      <c r="C109" s="15" t="inlineStr">
        <is>
          <t>02:45</t>
        </is>
      </c>
      <c r="D109" s="15" t="inlineStr">
        <is>
          <t>Tuesday</t>
        </is>
      </c>
      <c r="E109" s="15" t="n">
        <v>107</v>
      </c>
      <c r="F109" s="25" t="n">
        <v>96300</v>
      </c>
      <c r="G109" s="25" t="n">
        <v>26.75</v>
      </c>
      <c r="H109" s="37" t="n">
        <v>0.445</v>
      </c>
      <c r="I109" s="38">
        <f>H109*0.25</f>
        <v/>
      </c>
      <c r="J109" s="35">
        <f>J108+I109</f>
        <v/>
      </c>
      <c r="K109" s="15" t="inlineStr">
        <is>
          <t>Valid (Smart Meter)</t>
        </is>
      </c>
      <c r="L109" s="26" t="inlineStr">
        <is>
          <t>Night baseload / Heating</t>
        </is>
      </c>
    </row>
    <row r="110">
      <c r="A110" s="12" t="inlineStr">
        <is>
          <t>2025-11-11 03:00:00</t>
        </is>
      </c>
      <c r="B110" s="12" t="inlineStr">
        <is>
          <t>2025-11-11</t>
        </is>
      </c>
      <c r="C110" s="12" t="inlineStr">
        <is>
          <t>03:00</t>
        </is>
      </c>
      <c r="D110" s="12" t="inlineStr">
        <is>
          <t>Tuesday</t>
        </is>
      </c>
      <c r="E110" s="12" t="n">
        <v>108</v>
      </c>
      <c r="F110" s="27" t="n">
        <v>97200</v>
      </c>
      <c r="G110" s="27" t="n">
        <v>27</v>
      </c>
      <c r="H110" s="39" t="n">
        <v>0.38</v>
      </c>
      <c r="I110" s="40">
        <f>H110*0.25</f>
        <v/>
      </c>
      <c r="J110" s="34">
        <f>J109+I110</f>
        <v/>
      </c>
      <c r="K110" s="12" t="inlineStr">
        <is>
          <t>Valid (Smart Meter)</t>
        </is>
      </c>
      <c r="L110" s="28" t="inlineStr">
        <is>
          <t>Night baseload / Heating</t>
        </is>
      </c>
    </row>
    <row r="111">
      <c r="A111" s="12" t="inlineStr">
        <is>
          <t>2025-11-11 03:15:00</t>
        </is>
      </c>
      <c r="B111" s="12" t="inlineStr">
        <is>
          <t>2025-11-11</t>
        </is>
      </c>
      <c r="C111" s="12" t="inlineStr">
        <is>
          <t>03:15</t>
        </is>
      </c>
      <c r="D111" s="12" t="inlineStr">
        <is>
          <t>Tuesday</t>
        </is>
      </c>
      <c r="E111" s="12" t="n">
        <v>109</v>
      </c>
      <c r="F111" s="27" t="n">
        <v>98100</v>
      </c>
      <c r="G111" s="27" t="n">
        <v>27.25</v>
      </c>
      <c r="H111" s="39" t="n">
        <v>0.477</v>
      </c>
      <c r="I111" s="40">
        <f>H111*0.25</f>
        <v/>
      </c>
      <c r="J111" s="34">
        <f>J110+I111</f>
        <v/>
      </c>
      <c r="K111" s="12" t="inlineStr">
        <is>
          <t>Valid (Smart Meter)</t>
        </is>
      </c>
      <c r="L111" s="28" t="inlineStr">
        <is>
          <t>Night baseload / Heating</t>
        </is>
      </c>
    </row>
    <row r="112">
      <c r="A112" s="12" t="inlineStr">
        <is>
          <t>2025-11-11 03:30:00</t>
        </is>
      </c>
      <c r="B112" s="12" t="inlineStr">
        <is>
          <t>2025-11-11</t>
        </is>
      </c>
      <c r="C112" s="12" t="inlineStr">
        <is>
          <t>03:30</t>
        </is>
      </c>
      <c r="D112" s="12" t="inlineStr">
        <is>
          <t>Tuesday</t>
        </is>
      </c>
      <c r="E112" s="12" t="n">
        <v>110</v>
      </c>
      <c r="F112" s="27" t="n">
        <v>99000</v>
      </c>
      <c r="G112" s="27" t="n">
        <v>27.5</v>
      </c>
      <c r="H112" s="39" t="n">
        <v>0.419</v>
      </c>
      <c r="I112" s="40">
        <f>H112*0.25</f>
        <v/>
      </c>
      <c r="J112" s="34">
        <f>J111+I112</f>
        <v/>
      </c>
      <c r="K112" s="12" t="inlineStr">
        <is>
          <t>Valid (Smart Meter)</t>
        </is>
      </c>
      <c r="L112" s="28" t="inlineStr">
        <is>
          <t>Night baseload / Heating</t>
        </is>
      </c>
    </row>
    <row r="113">
      <c r="A113" s="12" t="inlineStr">
        <is>
          <t>2025-11-11 03:45:00</t>
        </is>
      </c>
      <c r="B113" s="12" t="inlineStr">
        <is>
          <t>2025-11-11</t>
        </is>
      </c>
      <c r="C113" s="12" t="inlineStr">
        <is>
          <t>03:45</t>
        </is>
      </c>
      <c r="D113" s="12" t="inlineStr">
        <is>
          <t>Tuesday</t>
        </is>
      </c>
      <c r="E113" s="12" t="n">
        <v>111</v>
      </c>
      <c r="F113" s="27" t="n">
        <v>99900</v>
      </c>
      <c r="G113" s="27" t="n">
        <v>27.75</v>
      </c>
      <c r="H113" s="39" t="n">
        <v>0.456</v>
      </c>
      <c r="I113" s="40">
        <f>H113*0.25</f>
        <v/>
      </c>
      <c r="J113" s="34">
        <f>J112+I113</f>
        <v/>
      </c>
      <c r="K113" s="12" t="inlineStr">
        <is>
          <t>Valid (Smart Meter)</t>
        </is>
      </c>
      <c r="L113" s="28" t="inlineStr">
        <is>
          <t>Night baseload / Heating</t>
        </is>
      </c>
    </row>
    <row r="114">
      <c r="A114" s="15" t="inlineStr">
        <is>
          <t>2025-11-11 04:00:00</t>
        </is>
      </c>
      <c r="B114" s="15" t="inlineStr">
        <is>
          <t>2025-11-11</t>
        </is>
      </c>
      <c r="C114" s="15" t="inlineStr">
        <is>
          <t>04:00</t>
        </is>
      </c>
      <c r="D114" s="15" t="inlineStr">
        <is>
          <t>Tuesday</t>
        </is>
      </c>
      <c r="E114" s="15" t="n">
        <v>112</v>
      </c>
      <c r="F114" s="25" t="n">
        <v>100800</v>
      </c>
      <c r="G114" s="25" t="n">
        <v>28</v>
      </c>
      <c r="H114" s="37" t="n">
        <v>0.571</v>
      </c>
      <c r="I114" s="38">
        <f>H114*0.25</f>
        <v/>
      </c>
      <c r="J114" s="35">
        <f>J113+I114</f>
        <v/>
      </c>
      <c r="K114" s="15" t="inlineStr">
        <is>
          <t>Valid (Smart Meter)</t>
        </is>
      </c>
      <c r="L114" s="26" t="inlineStr">
        <is>
          <t>Night baseload / Heating</t>
        </is>
      </c>
    </row>
    <row r="115">
      <c r="A115" s="15" t="inlineStr">
        <is>
          <t>2025-11-11 04:15:00</t>
        </is>
      </c>
      <c r="B115" s="15" t="inlineStr">
        <is>
          <t>2025-11-11</t>
        </is>
      </c>
      <c r="C115" s="15" t="inlineStr">
        <is>
          <t>04:15</t>
        </is>
      </c>
      <c r="D115" s="15" t="inlineStr">
        <is>
          <t>Tuesday</t>
        </is>
      </c>
      <c r="E115" s="15" t="n">
        <v>113</v>
      </c>
      <c r="F115" s="25" t="n">
        <v>101700</v>
      </c>
      <c r="G115" s="25" t="n">
        <v>28.25</v>
      </c>
      <c r="H115" s="37" t="n">
        <v>0.591</v>
      </c>
      <c r="I115" s="38">
        <f>H115*0.25</f>
        <v/>
      </c>
      <c r="J115" s="35">
        <f>J114+I115</f>
        <v/>
      </c>
      <c r="K115" s="15" t="inlineStr">
        <is>
          <t>Valid (Smart Meter)</t>
        </is>
      </c>
      <c r="L115" s="26" t="inlineStr">
        <is>
          <t>Night baseload / Heating</t>
        </is>
      </c>
    </row>
    <row r="116">
      <c r="A116" s="15" t="inlineStr">
        <is>
          <t>2025-11-11 04:30:00</t>
        </is>
      </c>
      <c r="B116" s="15" t="inlineStr">
        <is>
          <t>2025-11-11</t>
        </is>
      </c>
      <c r="C116" s="15" t="inlineStr">
        <is>
          <t>04:30</t>
        </is>
      </c>
      <c r="D116" s="15" t="inlineStr">
        <is>
          <t>Tuesday</t>
        </is>
      </c>
      <c r="E116" s="15" t="n">
        <v>114</v>
      </c>
      <c r="F116" s="25" t="n">
        <v>102600</v>
      </c>
      <c r="G116" s="25" t="n">
        <v>28.5</v>
      </c>
      <c r="H116" s="37" t="n">
        <v>0.5600000000000001</v>
      </c>
      <c r="I116" s="38">
        <f>H116*0.25</f>
        <v/>
      </c>
      <c r="J116" s="35">
        <f>J115+I116</f>
        <v/>
      </c>
      <c r="K116" s="15" t="inlineStr">
        <is>
          <t>Valid (Smart Meter)</t>
        </is>
      </c>
      <c r="L116" s="26" t="inlineStr">
        <is>
          <t>Night baseload / Heating</t>
        </is>
      </c>
    </row>
    <row r="117">
      <c r="A117" s="15" t="inlineStr">
        <is>
          <t>2025-11-11 04:45:00</t>
        </is>
      </c>
      <c r="B117" s="15" t="inlineStr">
        <is>
          <t>2025-11-11</t>
        </is>
      </c>
      <c r="C117" s="15" t="inlineStr">
        <is>
          <t>04:45</t>
        </is>
      </c>
      <c r="D117" s="15" t="inlineStr">
        <is>
          <t>Tuesday</t>
        </is>
      </c>
      <c r="E117" s="15" t="n">
        <v>115</v>
      </c>
      <c r="F117" s="25" t="n">
        <v>103500</v>
      </c>
      <c r="G117" s="25" t="n">
        <v>28.75</v>
      </c>
      <c r="H117" s="37" t="n">
        <v>0.608</v>
      </c>
      <c r="I117" s="38">
        <f>H117*0.25</f>
        <v/>
      </c>
      <c r="J117" s="35">
        <f>J116+I117</f>
        <v/>
      </c>
      <c r="K117" s="15" t="inlineStr">
        <is>
          <t>Valid (Smart Meter)</t>
        </is>
      </c>
      <c r="L117" s="26" t="inlineStr">
        <is>
          <t>Night baseload / Heating</t>
        </is>
      </c>
    </row>
    <row r="118">
      <c r="A118" s="12" t="inlineStr">
        <is>
          <t>2025-11-11 05:00:00</t>
        </is>
      </c>
      <c r="B118" s="12" t="inlineStr">
        <is>
          <t>2025-11-11</t>
        </is>
      </c>
      <c r="C118" s="12" t="inlineStr">
        <is>
          <t>05:00</t>
        </is>
      </c>
      <c r="D118" s="12" t="inlineStr">
        <is>
          <t>Tuesday</t>
        </is>
      </c>
      <c r="E118" s="12" t="n">
        <v>116</v>
      </c>
      <c r="F118" s="27" t="n">
        <v>104400</v>
      </c>
      <c r="G118" s="27" t="n">
        <v>29</v>
      </c>
      <c r="H118" s="39" t="n">
        <v>0.615</v>
      </c>
      <c r="I118" s="40">
        <f>H118*0.25</f>
        <v/>
      </c>
      <c r="J118" s="34">
        <f>J117+I118</f>
        <v/>
      </c>
      <c r="K118" s="12" t="inlineStr">
        <is>
          <t>Valid (Smart Meter)</t>
        </is>
      </c>
      <c r="L118" s="28" t="inlineStr">
        <is>
          <t>Night baseload / Heating</t>
        </is>
      </c>
    </row>
    <row r="119">
      <c r="A119" s="12" t="inlineStr">
        <is>
          <t>2025-11-11 05:15:00</t>
        </is>
      </c>
      <c r="B119" s="12" t="inlineStr">
        <is>
          <t>2025-11-11</t>
        </is>
      </c>
      <c r="C119" s="12" t="inlineStr">
        <is>
          <t>05:15</t>
        </is>
      </c>
      <c r="D119" s="12" t="inlineStr">
        <is>
          <t>Tuesday</t>
        </is>
      </c>
      <c r="E119" s="12" t="n">
        <v>117</v>
      </c>
      <c r="F119" s="27" t="n">
        <v>105300</v>
      </c>
      <c r="G119" s="27" t="n">
        <v>29.25</v>
      </c>
      <c r="H119" s="39" t="n">
        <v>0.726</v>
      </c>
      <c r="I119" s="40">
        <f>H119*0.25</f>
        <v/>
      </c>
      <c r="J119" s="34">
        <f>J118+I119</f>
        <v/>
      </c>
      <c r="K119" s="12" t="inlineStr">
        <is>
          <t>Valid (Smart Meter)</t>
        </is>
      </c>
      <c r="L119" s="28" t="inlineStr">
        <is>
          <t>Night baseload / Heating</t>
        </is>
      </c>
    </row>
    <row r="120">
      <c r="A120" s="12" t="inlineStr">
        <is>
          <t>2025-11-11 05:30:00</t>
        </is>
      </c>
      <c r="B120" s="12" t="inlineStr">
        <is>
          <t>2025-11-11</t>
        </is>
      </c>
      <c r="C120" s="12" t="inlineStr">
        <is>
          <t>05:30</t>
        </is>
      </c>
      <c r="D120" s="12" t="inlineStr">
        <is>
          <t>Tuesday</t>
        </is>
      </c>
      <c r="E120" s="12" t="n">
        <v>118</v>
      </c>
      <c r="F120" s="27" t="n">
        <v>106200</v>
      </c>
      <c r="G120" s="27" t="n">
        <v>29.5</v>
      </c>
      <c r="H120" s="39" t="n">
        <v>0.757</v>
      </c>
      <c r="I120" s="40">
        <f>H120*0.25</f>
        <v/>
      </c>
      <c r="J120" s="34">
        <f>J119+I120</f>
        <v/>
      </c>
      <c r="K120" s="12" t="inlineStr">
        <is>
          <t>Valid (Smart Meter)</t>
        </is>
      </c>
      <c r="L120" s="28" t="inlineStr">
        <is>
          <t>Night baseload / Heating</t>
        </is>
      </c>
    </row>
    <row r="121">
      <c r="A121" s="12" t="inlineStr">
        <is>
          <t>2025-11-11 05:45:00</t>
        </is>
      </c>
      <c r="B121" s="12" t="inlineStr">
        <is>
          <t>2025-11-11</t>
        </is>
      </c>
      <c r="C121" s="12" t="inlineStr">
        <is>
          <t>05:45</t>
        </is>
      </c>
      <c r="D121" s="12" t="inlineStr">
        <is>
          <t>Tuesday</t>
        </is>
      </c>
      <c r="E121" s="12" t="n">
        <v>119</v>
      </c>
      <c r="F121" s="27" t="n">
        <v>107100</v>
      </c>
      <c r="G121" s="27" t="n">
        <v>29.75</v>
      </c>
      <c r="H121" s="39" t="n">
        <v>0.677</v>
      </c>
      <c r="I121" s="40">
        <f>H121*0.25</f>
        <v/>
      </c>
      <c r="J121" s="34">
        <f>J120+I121</f>
        <v/>
      </c>
      <c r="K121" s="12" t="inlineStr">
        <is>
          <t>Valid (Smart Meter)</t>
        </is>
      </c>
      <c r="L121" s="28" t="inlineStr">
        <is>
          <t>Night baseload / Heating</t>
        </is>
      </c>
    </row>
    <row r="122">
      <c r="A122" s="15" t="inlineStr">
        <is>
          <t>2025-11-11 06:00:00</t>
        </is>
      </c>
      <c r="B122" s="15" t="inlineStr">
        <is>
          <t>2025-11-11</t>
        </is>
      </c>
      <c r="C122" s="15" t="inlineStr">
        <is>
          <t>06:00</t>
        </is>
      </c>
      <c r="D122" s="15" t="inlineStr">
        <is>
          <t>Tuesday</t>
        </is>
      </c>
      <c r="E122" s="15" t="n">
        <v>120</v>
      </c>
      <c r="F122" s="25" t="n">
        <v>108000</v>
      </c>
      <c r="G122" s="25" t="n">
        <v>30</v>
      </c>
      <c r="H122" s="37" t="n">
        <v>0.65</v>
      </c>
      <c r="I122" s="38">
        <f>H122*0.25</f>
        <v/>
      </c>
      <c r="J122" s="35">
        <f>J121+I122</f>
        <v/>
      </c>
      <c r="K122" s="15" t="inlineStr">
        <is>
          <t>Valid (Smart Meter)</t>
        </is>
      </c>
      <c r="L122" s="26" t="inlineStr">
        <is>
          <t>Night baseload / Heating</t>
        </is>
      </c>
    </row>
    <row r="123">
      <c r="A123" s="15" t="inlineStr">
        <is>
          <t>2025-11-11 06:15:00</t>
        </is>
      </c>
      <c r="B123" s="15" t="inlineStr">
        <is>
          <t>2025-11-11</t>
        </is>
      </c>
      <c r="C123" s="15" t="inlineStr">
        <is>
          <t>06:15</t>
        </is>
      </c>
      <c r="D123" s="15" t="inlineStr">
        <is>
          <t>Tuesday</t>
        </is>
      </c>
      <c r="E123" s="15" t="n">
        <v>121</v>
      </c>
      <c r="F123" s="25" t="n">
        <v>108900</v>
      </c>
      <c r="G123" s="25" t="n">
        <v>30.25</v>
      </c>
      <c r="H123" s="37" t="n">
        <v>0.525</v>
      </c>
      <c r="I123" s="38">
        <f>H123*0.25</f>
        <v/>
      </c>
      <c r="J123" s="35">
        <f>J122+I123</f>
        <v/>
      </c>
      <c r="K123" s="15" t="inlineStr">
        <is>
          <t>Valid (Smart Meter)</t>
        </is>
      </c>
      <c r="L123" s="26" t="inlineStr">
        <is>
          <t>Night baseload / Heating</t>
        </is>
      </c>
    </row>
    <row r="124">
      <c r="A124" s="15" t="inlineStr">
        <is>
          <t>2025-11-11 06:30:00</t>
        </is>
      </c>
      <c r="B124" s="15" t="inlineStr">
        <is>
          <t>2025-11-11</t>
        </is>
      </c>
      <c r="C124" s="15" t="inlineStr">
        <is>
          <t>06:30</t>
        </is>
      </c>
      <c r="D124" s="15" t="inlineStr">
        <is>
          <t>Tuesday</t>
        </is>
      </c>
      <c r="E124" s="15" t="n">
        <v>122</v>
      </c>
      <c r="F124" s="25" t="n">
        <v>109800</v>
      </c>
      <c r="G124" s="25" t="n">
        <v>30.5</v>
      </c>
      <c r="H124" s="37" t="n">
        <v>1.431</v>
      </c>
      <c r="I124" s="38">
        <f>H124*0.25</f>
        <v/>
      </c>
      <c r="J124" s="35">
        <f>J123+I124</f>
        <v/>
      </c>
      <c r="K124" s="15" t="inlineStr">
        <is>
          <t>Valid (Smart Meter)</t>
        </is>
      </c>
      <c r="L124" s="26" t="inlineStr">
        <is>
          <t>Morning routine (Kettle/Toaster/Lighting)</t>
        </is>
      </c>
    </row>
    <row r="125">
      <c r="A125" s="15" t="inlineStr">
        <is>
          <t>2025-11-11 06:45:00</t>
        </is>
      </c>
      <c r="B125" s="15" t="inlineStr">
        <is>
          <t>2025-11-11</t>
        </is>
      </c>
      <c r="C125" s="15" t="inlineStr">
        <is>
          <t>06:45</t>
        </is>
      </c>
      <c r="D125" s="15" t="inlineStr">
        <is>
          <t>Tuesday</t>
        </is>
      </c>
      <c r="E125" s="15" t="n">
        <v>123</v>
      </c>
      <c r="F125" s="25" t="n">
        <v>110700</v>
      </c>
      <c r="G125" s="25" t="n">
        <v>30.75</v>
      </c>
      <c r="H125" s="37" t="n">
        <v>1.621</v>
      </c>
      <c r="I125" s="38">
        <f>H125*0.25</f>
        <v/>
      </c>
      <c r="J125" s="35">
        <f>J124+I125</f>
        <v/>
      </c>
      <c r="K125" s="15" t="inlineStr">
        <is>
          <t>Valid (Smart Meter)</t>
        </is>
      </c>
      <c r="L125" s="26" t="inlineStr">
        <is>
          <t>Morning routine (Kettle/Toaster/Lighting)</t>
        </is>
      </c>
    </row>
    <row r="126">
      <c r="A126" s="12" t="inlineStr">
        <is>
          <t>2025-11-11 07:00:00</t>
        </is>
      </c>
      <c r="B126" s="12" t="inlineStr">
        <is>
          <t>2025-11-11</t>
        </is>
      </c>
      <c r="C126" s="12" t="inlineStr">
        <is>
          <t>07:00</t>
        </is>
      </c>
      <c r="D126" s="12" t="inlineStr">
        <is>
          <t>Tuesday</t>
        </is>
      </c>
      <c r="E126" s="12" t="n">
        <v>124</v>
      </c>
      <c r="F126" s="27" t="n">
        <v>111600</v>
      </c>
      <c r="G126" s="27" t="n">
        <v>31</v>
      </c>
      <c r="H126" s="39" t="n">
        <v>3.062</v>
      </c>
      <c r="I126" s="40">
        <f>H126*0.25</f>
        <v/>
      </c>
      <c r="J126" s="34">
        <f>J125+I126</f>
        <v/>
      </c>
      <c r="K126" s="12" t="inlineStr">
        <is>
          <t>Valid (Smart Meter)</t>
        </is>
      </c>
      <c r="L126" s="28" t="inlineStr">
        <is>
          <t>Breakfast &amp; Water heater cycle</t>
        </is>
      </c>
    </row>
    <row r="127">
      <c r="A127" s="12" t="inlineStr">
        <is>
          <t>2025-11-11 07:15:00</t>
        </is>
      </c>
      <c r="B127" s="12" t="inlineStr">
        <is>
          <t>2025-11-11</t>
        </is>
      </c>
      <c r="C127" s="12" t="inlineStr">
        <is>
          <t>07:15</t>
        </is>
      </c>
      <c r="D127" s="12" t="inlineStr">
        <is>
          <t>Tuesday</t>
        </is>
      </c>
      <c r="E127" s="12" t="n">
        <v>125</v>
      </c>
      <c r="F127" s="27" t="n">
        <v>112500</v>
      </c>
      <c r="G127" s="27" t="n">
        <v>31.25</v>
      </c>
      <c r="H127" s="39" t="n">
        <v>2.886</v>
      </c>
      <c r="I127" s="40">
        <f>H127*0.25</f>
        <v/>
      </c>
      <c r="J127" s="34">
        <f>J126+I127</f>
        <v/>
      </c>
      <c r="K127" s="12" t="inlineStr">
        <is>
          <t>Valid (Smart Meter)</t>
        </is>
      </c>
      <c r="L127" s="28" t="inlineStr">
        <is>
          <t>Breakfast &amp; Water heater cycle</t>
        </is>
      </c>
    </row>
    <row r="128">
      <c r="A128" s="12" t="inlineStr">
        <is>
          <t>2025-11-11 07:30:00</t>
        </is>
      </c>
      <c r="B128" s="12" t="inlineStr">
        <is>
          <t>2025-11-11</t>
        </is>
      </c>
      <c r="C128" s="12" t="inlineStr">
        <is>
          <t>07:30</t>
        </is>
      </c>
      <c r="D128" s="12" t="inlineStr">
        <is>
          <t>Tuesday</t>
        </is>
      </c>
      <c r="E128" s="12" t="n">
        <v>126</v>
      </c>
      <c r="F128" s="27" t="n">
        <v>113400</v>
      </c>
      <c r="G128" s="27" t="n">
        <v>31.5</v>
      </c>
      <c r="H128" s="39" t="n">
        <v>3.182</v>
      </c>
      <c r="I128" s="40">
        <f>H128*0.25</f>
        <v/>
      </c>
      <c r="J128" s="34">
        <f>J127+I128</f>
        <v/>
      </c>
      <c r="K128" s="12" t="inlineStr">
        <is>
          <t>Valid (Smart Meter)</t>
        </is>
      </c>
      <c r="L128" s="28" t="inlineStr">
        <is>
          <t>Breakfast &amp; Water heater cycle</t>
        </is>
      </c>
    </row>
    <row r="129">
      <c r="A129" s="12" t="inlineStr">
        <is>
          <t>2025-11-11 07:45:00</t>
        </is>
      </c>
      <c r="B129" s="12" t="inlineStr">
        <is>
          <t>2025-11-11</t>
        </is>
      </c>
      <c r="C129" s="12" t="inlineStr">
        <is>
          <t>07:45</t>
        </is>
      </c>
      <c r="D129" s="12" t="inlineStr">
        <is>
          <t>Tuesday</t>
        </is>
      </c>
      <c r="E129" s="12" t="n">
        <v>127</v>
      </c>
      <c r="F129" s="27" t="n">
        <v>114300</v>
      </c>
      <c r="G129" s="27" t="n">
        <v>31.75</v>
      </c>
      <c r="H129" s="39" t="n">
        <v>1.492</v>
      </c>
      <c r="I129" s="40">
        <f>H129*0.25</f>
        <v/>
      </c>
      <c r="J129" s="34">
        <f>J128+I129</f>
        <v/>
      </c>
      <c r="K129" s="12" t="inlineStr">
        <is>
          <t>Valid (Smart Meter)</t>
        </is>
      </c>
      <c r="L129" s="28" t="inlineStr">
        <is>
          <t>Morning routine (Kettle/Toaster/Lighting)</t>
        </is>
      </c>
    </row>
    <row r="130">
      <c r="A130" s="15" t="inlineStr">
        <is>
          <t>2025-11-11 08:00:00</t>
        </is>
      </c>
      <c r="B130" s="15" t="inlineStr">
        <is>
          <t>2025-11-11</t>
        </is>
      </c>
      <c r="C130" s="15" t="inlineStr">
        <is>
          <t>08:00</t>
        </is>
      </c>
      <c r="D130" s="15" t="inlineStr">
        <is>
          <t>Tuesday</t>
        </is>
      </c>
      <c r="E130" s="15" t="n">
        <v>128</v>
      </c>
      <c r="F130" s="25" t="n">
        <v>115200</v>
      </c>
      <c r="G130" s="25" t="n">
        <v>32</v>
      </c>
      <c r="H130" s="37" t="n">
        <v>1.464</v>
      </c>
      <c r="I130" s="38">
        <f>H130*0.25</f>
        <v/>
      </c>
      <c r="J130" s="35">
        <f>J129+I130</f>
        <v/>
      </c>
      <c r="K130" s="15" t="inlineStr">
        <is>
          <t>Valid (Smart Meter)</t>
        </is>
      </c>
      <c r="L130" s="26" t="inlineStr">
        <is>
          <t>Morning routine (Kettle/Toaster/Lighting)</t>
        </is>
      </c>
    </row>
    <row r="131">
      <c r="A131" s="15" t="inlineStr">
        <is>
          <t>2025-11-11 08:15:00</t>
        </is>
      </c>
      <c r="B131" s="15" t="inlineStr">
        <is>
          <t>2025-11-11</t>
        </is>
      </c>
      <c r="C131" s="15" t="inlineStr">
        <is>
          <t>08:15</t>
        </is>
      </c>
      <c r="D131" s="15" t="inlineStr">
        <is>
          <t>Tuesday</t>
        </is>
      </c>
      <c r="E131" s="15" t="n">
        <v>129</v>
      </c>
      <c r="F131" s="25" t="n">
        <v>116100</v>
      </c>
      <c r="G131" s="25" t="n">
        <v>32.25</v>
      </c>
      <c r="H131" s="37" t="n">
        <v>1.535</v>
      </c>
      <c r="I131" s="38">
        <f>H131*0.25</f>
        <v/>
      </c>
      <c r="J131" s="35">
        <f>J130+I131</f>
        <v/>
      </c>
      <c r="K131" s="15" t="inlineStr">
        <is>
          <t>Valid (Smart Meter)</t>
        </is>
      </c>
      <c r="L131" s="26" t="inlineStr">
        <is>
          <t>Morning routine (Kettle/Toaster/Lighting)</t>
        </is>
      </c>
    </row>
    <row r="132">
      <c r="A132" s="15" t="inlineStr">
        <is>
          <t>2025-11-11 08:30:00</t>
        </is>
      </c>
      <c r="B132" s="15" t="inlineStr">
        <is>
          <t>2025-11-11</t>
        </is>
      </c>
      <c r="C132" s="15" t="inlineStr">
        <is>
          <t>08:30</t>
        </is>
      </c>
      <c r="D132" s="15" t="inlineStr">
        <is>
          <t>Tuesday</t>
        </is>
      </c>
      <c r="E132" s="15" t="n">
        <v>130</v>
      </c>
      <c r="F132" s="25" t="n">
        <v>117000</v>
      </c>
      <c r="G132" s="25" t="n">
        <v>32.5</v>
      </c>
      <c r="H132" s="37" t="n">
        <v>1.49</v>
      </c>
      <c r="I132" s="38">
        <f>H132*0.25</f>
        <v/>
      </c>
      <c r="J132" s="35">
        <f>J131+I132</f>
        <v/>
      </c>
      <c r="K132" s="15" t="inlineStr">
        <is>
          <t>Valid (Smart Meter)</t>
        </is>
      </c>
      <c r="L132" s="26" t="inlineStr">
        <is>
          <t>Morning routine (Kettle/Toaster/Lighting)</t>
        </is>
      </c>
    </row>
    <row r="133">
      <c r="A133" s="15" t="inlineStr">
        <is>
          <t>2025-11-11 08:45:00</t>
        </is>
      </c>
      <c r="B133" s="15" t="inlineStr">
        <is>
          <t>2025-11-11</t>
        </is>
      </c>
      <c r="C133" s="15" t="inlineStr">
        <is>
          <t>08:45</t>
        </is>
      </c>
      <c r="D133" s="15" t="inlineStr">
        <is>
          <t>Tuesday</t>
        </is>
      </c>
      <c r="E133" s="15" t="n">
        <v>131</v>
      </c>
      <c r="F133" s="25" t="n">
        <v>117900</v>
      </c>
      <c r="G133" s="25" t="n">
        <v>32.75</v>
      </c>
      <c r="H133" s="37" t="n">
        <v>0.743</v>
      </c>
      <c r="I133" s="38">
        <f>H133*0.25</f>
        <v/>
      </c>
      <c r="J133" s="35">
        <f>J132+I133</f>
        <v/>
      </c>
      <c r="K133" s="15" t="inlineStr">
        <is>
          <t>Valid (Smart Meter)</t>
        </is>
      </c>
      <c r="L133" s="26" t="inlineStr">
        <is>
          <t>Daytime low activity / Home office</t>
        </is>
      </c>
    </row>
    <row r="134">
      <c r="A134" s="12" t="inlineStr">
        <is>
          <t>2025-11-11 09:00:00</t>
        </is>
      </c>
      <c r="B134" s="12" t="inlineStr">
        <is>
          <t>2025-11-11</t>
        </is>
      </c>
      <c r="C134" s="12" t="inlineStr">
        <is>
          <t>09:00</t>
        </is>
      </c>
      <c r="D134" s="12" t="inlineStr">
        <is>
          <t>Tuesday</t>
        </is>
      </c>
      <c r="E134" s="12" t="n">
        <v>132</v>
      </c>
      <c r="F134" s="27" t="n">
        <v>118800</v>
      </c>
      <c r="G134" s="27" t="n">
        <v>33</v>
      </c>
      <c r="H134" s="39" t="n">
        <v>0.62</v>
      </c>
      <c r="I134" s="40">
        <f>H134*0.25</f>
        <v/>
      </c>
      <c r="J134" s="34">
        <f>J133+I134</f>
        <v/>
      </c>
      <c r="K134" s="12" t="inlineStr">
        <is>
          <t>Valid (Smart Meter)</t>
        </is>
      </c>
      <c r="L134" s="28" t="inlineStr">
        <is>
          <t>Daytime low activity / Home office</t>
        </is>
      </c>
    </row>
    <row r="135">
      <c r="A135" s="12" t="inlineStr">
        <is>
          <t>2025-11-11 09:15:00</t>
        </is>
      </c>
      <c r="B135" s="12" t="inlineStr">
        <is>
          <t>2025-11-11</t>
        </is>
      </c>
      <c r="C135" s="12" t="inlineStr">
        <is>
          <t>09:15</t>
        </is>
      </c>
      <c r="D135" s="12" t="inlineStr">
        <is>
          <t>Tuesday</t>
        </is>
      </c>
      <c r="E135" s="12" t="n">
        <v>133</v>
      </c>
      <c r="F135" s="27" t="n">
        <v>119700</v>
      </c>
      <c r="G135" s="27" t="n">
        <v>33.25</v>
      </c>
      <c r="H135" s="39" t="n">
        <v>0.62</v>
      </c>
      <c r="I135" s="40">
        <f>H135*0.25</f>
        <v/>
      </c>
      <c r="J135" s="34">
        <f>J134+I135</f>
        <v/>
      </c>
      <c r="K135" s="12" t="inlineStr">
        <is>
          <t>Valid (Smart Meter)</t>
        </is>
      </c>
      <c r="L135" s="28" t="inlineStr">
        <is>
          <t>Daytime low activity / Home office</t>
        </is>
      </c>
    </row>
    <row r="136">
      <c r="A136" s="12" t="inlineStr">
        <is>
          <t>2025-11-11 09:30:00</t>
        </is>
      </c>
      <c r="B136" s="12" t="inlineStr">
        <is>
          <t>2025-11-11</t>
        </is>
      </c>
      <c r="C136" s="12" t="inlineStr">
        <is>
          <t>09:30</t>
        </is>
      </c>
      <c r="D136" s="12" t="inlineStr">
        <is>
          <t>Tuesday</t>
        </is>
      </c>
      <c r="E136" s="12" t="n">
        <v>134</v>
      </c>
      <c r="F136" s="27" t="n">
        <v>120600</v>
      </c>
      <c r="G136" s="27" t="n">
        <v>33.5</v>
      </c>
      <c r="H136" s="39" t="n">
        <v>0.656</v>
      </c>
      <c r="I136" s="40">
        <f>H136*0.25</f>
        <v/>
      </c>
      <c r="J136" s="34">
        <f>J135+I136</f>
        <v/>
      </c>
      <c r="K136" s="12" t="inlineStr">
        <is>
          <t>Valid (Smart Meter)</t>
        </is>
      </c>
      <c r="L136" s="28" t="inlineStr">
        <is>
          <t>Daytime low activity / Home office</t>
        </is>
      </c>
    </row>
    <row r="137">
      <c r="A137" s="12" t="inlineStr">
        <is>
          <t>2025-11-11 09:45:00</t>
        </is>
      </c>
      <c r="B137" s="12" t="inlineStr">
        <is>
          <t>2025-11-11</t>
        </is>
      </c>
      <c r="C137" s="12" t="inlineStr">
        <is>
          <t>09:45</t>
        </is>
      </c>
      <c r="D137" s="12" t="inlineStr">
        <is>
          <t>Tuesday</t>
        </is>
      </c>
      <c r="E137" s="12" t="n">
        <v>135</v>
      </c>
      <c r="F137" s="27" t="n">
        <v>121500</v>
      </c>
      <c r="G137" s="27" t="n">
        <v>33.75</v>
      </c>
      <c r="H137" s="39" t="n">
        <v>0.753</v>
      </c>
      <c r="I137" s="40">
        <f>H137*0.25</f>
        <v/>
      </c>
      <c r="J137" s="34">
        <f>J136+I137</f>
        <v/>
      </c>
      <c r="K137" s="12" t="inlineStr">
        <is>
          <t>Valid (Smart Meter)</t>
        </is>
      </c>
      <c r="L137" s="28" t="inlineStr">
        <is>
          <t>Daytime low activity / Home office</t>
        </is>
      </c>
    </row>
    <row r="138">
      <c r="A138" s="15" t="inlineStr">
        <is>
          <t>2025-11-11 10:00:00</t>
        </is>
      </c>
      <c r="B138" s="15" t="inlineStr">
        <is>
          <t>2025-11-11</t>
        </is>
      </c>
      <c r="C138" s="15" t="inlineStr">
        <is>
          <t>10:00</t>
        </is>
      </c>
      <c r="D138" s="15" t="inlineStr">
        <is>
          <t>Tuesday</t>
        </is>
      </c>
      <c r="E138" s="15" t="n">
        <v>136</v>
      </c>
      <c r="F138" s="25" t="n">
        <v>122400</v>
      </c>
      <c r="G138" s="25" t="n">
        <v>34</v>
      </c>
      <c r="H138" s="37" t="n">
        <v>0.8129999999999999</v>
      </c>
      <c r="I138" s="38">
        <f>H138*0.25</f>
        <v/>
      </c>
      <c r="J138" s="35">
        <f>J137+I138</f>
        <v/>
      </c>
      <c r="K138" s="15" t="inlineStr">
        <is>
          <t>Valid (Smart Meter)</t>
        </is>
      </c>
      <c r="L138" s="26" t="inlineStr">
        <is>
          <t>Daytime low activity / Home office</t>
        </is>
      </c>
    </row>
    <row r="139">
      <c r="A139" s="15" t="inlineStr">
        <is>
          <t>2025-11-11 10:15:00</t>
        </is>
      </c>
      <c r="B139" s="15" t="inlineStr">
        <is>
          <t>2025-11-11</t>
        </is>
      </c>
      <c r="C139" s="15" t="inlineStr">
        <is>
          <t>10:15</t>
        </is>
      </c>
      <c r="D139" s="15" t="inlineStr">
        <is>
          <t>Tuesday</t>
        </is>
      </c>
      <c r="E139" s="15" t="n">
        <v>137</v>
      </c>
      <c r="F139" s="25" t="n">
        <v>123300</v>
      </c>
      <c r="G139" s="25" t="n">
        <v>34.25</v>
      </c>
      <c r="H139" s="37" t="n">
        <v>0.723</v>
      </c>
      <c r="I139" s="38">
        <f>H139*0.25</f>
        <v/>
      </c>
      <c r="J139" s="35">
        <f>J138+I139</f>
        <v/>
      </c>
      <c r="K139" s="15" t="inlineStr">
        <is>
          <t>Valid (Smart Meter)</t>
        </is>
      </c>
      <c r="L139" s="26" t="inlineStr">
        <is>
          <t>Daytime low activity / Home office</t>
        </is>
      </c>
    </row>
    <row r="140">
      <c r="A140" s="15" t="inlineStr">
        <is>
          <t>2025-11-11 10:30:00</t>
        </is>
      </c>
      <c r="B140" s="15" t="inlineStr">
        <is>
          <t>2025-11-11</t>
        </is>
      </c>
      <c r="C140" s="15" t="inlineStr">
        <is>
          <t>10:30</t>
        </is>
      </c>
      <c r="D140" s="15" t="inlineStr">
        <is>
          <t>Tuesday</t>
        </is>
      </c>
      <c r="E140" s="15" t="n">
        <v>138</v>
      </c>
      <c r="F140" s="25" t="n">
        <v>124200</v>
      </c>
      <c r="G140" s="25" t="n">
        <v>34.5</v>
      </c>
      <c r="H140" s="37" t="n">
        <v>0.792</v>
      </c>
      <c r="I140" s="38">
        <f>H140*0.25</f>
        <v/>
      </c>
      <c r="J140" s="35">
        <f>J139+I140</f>
        <v/>
      </c>
      <c r="K140" s="15" t="inlineStr">
        <is>
          <t>Valid (Smart Meter)</t>
        </is>
      </c>
      <c r="L140" s="26" t="inlineStr">
        <is>
          <t>Daytime low activity / Home office</t>
        </is>
      </c>
    </row>
    <row r="141">
      <c r="A141" s="15" t="inlineStr">
        <is>
          <t>2025-11-11 10:45:00</t>
        </is>
      </c>
      <c r="B141" s="15" t="inlineStr">
        <is>
          <t>2025-11-11</t>
        </is>
      </c>
      <c r="C141" s="15" t="inlineStr">
        <is>
          <t>10:45</t>
        </is>
      </c>
      <c r="D141" s="15" t="inlineStr">
        <is>
          <t>Tuesday</t>
        </is>
      </c>
      <c r="E141" s="15" t="n">
        <v>139</v>
      </c>
      <c r="F141" s="25" t="n">
        <v>125100</v>
      </c>
      <c r="G141" s="25" t="n">
        <v>34.75</v>
      </c>
      <c r="H141" s="37" t="n">
        <v>0.77</v>
      </c>
      <c r="I141" s="38">
        <f>H141*0.25</f>
        <v/>
      </c>
      <c r="J141" s="35">
        <f>J140+I141</f>
        <v/>
      </c>
      <c r="K141" s="15" t="inlineStr">
        <is>
          <t>Valid (Smart Meter)</t>
        </is>
      </c>
      <c r="L141" s="26" t="inlineStr">
        <is>
          <t>Daytime low activity / Home office</t>
        </is>
      </c>
    </row>
    <row r="142">
      <c r="A142" s="12" t="inlineStr">
        <is>
          <t>2025-11-11 11:00:00</t>
        </is>
      </c>
      <c r="B142" s="12" t="inlineStr">
        <is>
          <t>2025-11-11</t>
        </is>
      </c>
      <c r="C142" s="12" t="inlineStr">
        <is>
          <t>11:00</t>
        </is>
      </c>
      <c r="D142" s="12" t="inlineStr">
        <is>
          <t>Tuesday</t>
        </is>
      </c>
      <c r="E142" s="12" t="n">
        <v>140</v>
      </c>
      <c r="F142" s="27" t="n">
        <v>126000</v>
      </c>
      <c r="G142" s="27" t="n">
        <v>35</v>
      </c>
      <c r="H142" s="39" t="n">
        <v>0.765</v>
      </c>
      <c r="I142" s="40">
        <f>H142*0.25</f>
        <v/>
      </c>
      <c r="J142" s="34">
        <f>J141+I142</f>
        <v/>
      </c>
      <c r="K142" s="12" t="inlineStr">
        <is>
          <t>Valid (Smart Meter)</t>
        </is>
      </c>
      <c r="L142" s="28" t="inlineStr">
        <is>
          <t>Daytime low activity / Home office</t>
        </is>
      </c>
    </row>
    <row r="143">
      <c r="A143" s="12" t="inlineStr">
        <is>
          <t>2025-11-11 11:15:00</t>
        </is>
      </c>
      <c r="B143" s="12" t="inlineStr">
        <is>
          <t>2025-11-11</t>
        </is>
      </c>
      <c r="C143" s="12" t="inlineStr">
        <is>
          <t>11:15</t>
        </is>
      </c>
      <c r="D143" s="12" t="inlineStr">
        <is>
          <t>Tuesday</t>
        </is>
      </c>
      <c r="E143" s="12" t="n">
        <v>141</v>
      </c>
      <c r="F143" s="27" t="n">
        <v>126900</v>
      </c>
      <c r="G143" s="27" t="n">
        <v>35.25</v>
      </c>
      <c r="H143" s="39" t="n">
        <v>0.8139999999999999</v>
      </c>
      <c r="I143" s="40">
        <f>H143*0.25</f>
        <v/>
      </c>
      <c r="J143" s="34">
        <f>J142+I143</f>
        <v/>
      </c>
      <c r="K143" s="12" t="inlineStr">
        <is>
          <t>Valid (Smart Meter)</t>
        </is>
      </c>
      <c r="L143" s="28" t="inlineStr">
        <is>
          <t>Daytime low activity / Home office</t>
        </is>
      </c>
    </row>
    <row r="144">
      <c r="A144" s="12" t="inlineStr">
        <is>
          <t>2025-11-11 11:30:00</t>
        </is>
      </c>
      <c r="B144" s="12" t="inlineStr">
        <is>
          <t>2025-11-11</t>
        </is>
      </c>
      <c r="C144" s="12" t="inlineStr">
        <is>
          <t>11:30</t>
        </is>
      </c>
      <c r="D144" s="12" t="inlineStr">
        <is>
          <t>Tuesday</t>
        </is>
      </c>
      <c r="E144" s="12" t="n">
        <v>142</v>
      </c>
      <c r="F144" s="27" t="n">
        <v>127800</v>
      </c>
      <c r="G144" s="27" t="n">
        <v>35.5</v>
      </c>
      <c r="H144" s="39" t="n">
        <v>0.785</v>
      </c>
      <c r="I144" s="40">
        <f>H144*0.25</f>
        <v/>
      </c>
      <c r="J144" s="34">
        <f>J143+I144</f>
        <v/>
      </c>
      <c r="K144" s="12" t="inlineStr">
        <is>
          <t>Valid (Smart Meter)</t>
        </is>
      </c>
      <c r="L144" s="28" t="inlineStr">
        <is>
          <t>Daytime low activity / Home office</t>
        </is>
      </c>
    </row>
    <row r="145">
      <c r="A145" s="12" t="inlineStr">
        <is>
          <t>2025-11-11 11:45:00</t>
        </is>
      </c>
      <c r="B145" s="12" t="inlineStr">
        <is>
          <t>2025-11-11</t>
        </is>
      </c>
      <c r="C145" s="12" t="inlineStr">
        <is>
          <t>11:45</t>
        </is>
      </c>
      <c r="D145" s="12" t="inlineStr">
        <is>
          <t>Tuesday</t>
        </is>
      </c>
      <c r="E145" s="12" t="n">
        <v>143</v>
      </c>
      <c r="F145" s="27" t="n">
        <v>128700</v>
      </c>
      <c r="G145" s="27" t="n">
        <v>35.75</v>
      </c>
      <c r="H145" s="39" t="n">
        <v>0.731</v>
      </c>
      <c r="I145" s="40">
        <f>H145*0.25</f>
        <v/>
      </c>
      <c r="J145" s="34">
        <f>J144+I145</f>
        <v/>
      </c>
      <c r="K145" s="12" t="inlineStr">
        <is>
          <t>Valid (Smart Meter)</t>
        </is>
      </c>
      <c r="L145" s="28" t="inlineStr">
        <is>
          <t>Daytime low activity / Home office</t>
        </is>
      </c>
    </row>
    <row r="146">
      <c r="A146" s="15" t="inlineStr">
        <is>
          <t>2025-11-11 12:00:00</t>
        </is>
      </c>
      <c r="B146" s="15" t="inlineStr">
        <is>
          <t>2025-11-11</t>
        </is>
      </c>
      <c r="C146" s="15" t="inlineStr">
        <is>
          <t>12:00</t>
        </is>
      </c>
      <c r="D146" s="15" t="inlineStr">
        <is>
          <t>Tuesday</t>
        </is>
      </c>
      <c r="E146" s="15" t="n">
        <v>144</v>
      </c>
      <c r="F146" s="25" t="n">
        <v>129600</v>
      </c>
      <c r="G146" s="25" t="n">
        <v>36</v>
      </c>
      <c r="H146" s="37" t="n">
        <v>1.891</v>
      </c>
      <c r="I146" s="38">
        <f>H146*0.25</f>
        <v/>
      </c>
      <c r="J146" s="35">
        <f>J145+I146</f>
        <v/>
      </c>
      <c r="K146" s="15" t="inlineStr">
        <is>
          <t>Valid (Smart Meter)</t>
        </is>
      </c>
      <c r="L146" s="26" t="inlineStr">
        <is>
          <t>Lunch microwave / cooking</t>
        </is>
      </c>
    </row>
    <row r="147">
      <c r="A147" s="15" t="inlineStr">
        <is>
          <t>2025-11-11 12:15:00</t>
        </is>
      </c>
      <c r="B147" s="15" t="inlineStr">
        <is>
          <t>2025-11-11</t>
        </is>
      </c>
      <c r="C147" s="15" t="inlineStr">
        <is>
          <t>12:15</t>
        </is>
      </c>
      <c r="D147" s="15" t="inlineStr">
        <is>
          <t>Tuesday</t>
        </is>
      </c>
      <c r="E147" s="15" t="n">
        <v>145</v>
      </c>
      <c r="F147" s="25" t="n">
        <v>130500</v>
      </c>
      <c r="G147" s="25" t="n">
        <v>36.25</v>
      </c>
      <c r="H147" s="37" t="n">
        <v>1.89</v>
      </c>
      <c r="I147" s="38">
        <f>H147*0.25</f>
        <v/>
      </c>
      <c r="J147" s="35">
        <f>J146+I147</f>
        <v/>
      </c>
      <c r="K147" s="15" t="inlineStr">
        <is>
          <t>Valid (Smart Meter)</t>
        </is>
      </c>
      <c r="L147" s="26" t="inlineStr">
        <is>
          <t>Lunch microwave / cooking</t>
        </is>
      </c>
    </row>
    <row r="148">
      <c r="A148" s="15" t="inlineStr">
        <is>
          <t>2025-11-11 12:30:00</t>
        </is>
      </c>
      <c r="B148" s="15" t="inlineStr">
        <is>
          <t>2025-11-11</t>
        </is>
      </c>
      <c r="C148" s="15" t="inlineStr">
        <is>
          <t>12:30</t>
        </is>
      </c>
      <c r="D148" s="15" t="inlineStr">
        <is>
          <t>Tuesday</t>
        </is>
      </c>
      <c r="E148" s="15" t="n">
        <v>146</v>
      </c>
      <c r="F148" s="25" t="n">
        <v>131400</v>
      </c>
      <c r="G148" s="25" t="n">
        <v>36.5</v>
      </c>
      <c r="H148" s="37" t="n">
        <v>1.796</v>
      </c>
      <c r="I148" s="38">
        <f>H148*0.25</f>
        <v/>
      </c>
      <c r="J148" s="35">
        <f>J147+I148</f>
        <v/>
      </c>
      <c r="K148" s="15" t="inlineStr">
        <is>
          <t>Valid (Smart Meter)</t>
        </is>
      </c>
      <c r="L148" s="26" t="inlineStr">
        <is>
          <t>Lunch microwave / cooking</t>
        </is>
      </c>
    </row>
    <row r="149">
      <c r="A149" s="15" t="inlineStr">
        <is>
          <t>2025-11-11 12:45:00</t>
        </is>
      </c>
      <c r="B149" s="15" t="inlineStr">
        <is>
          <t>2025-11-11</t>
        </is>
      </c>
      <c r="C149" s="15" t="inlineStr">
        <is>
          <t>12:45</t>
        </is>
      </c>
      <c r="D149" s="15" t="inlineStr">
        <is>
          <t>Tuesday</t>
        </is>
      </c>
      <c r="E149" s="15" t="n">
        <v>147</v>
      </c>
      <c r="F149" s="25" t="n">
        <v>132300</v>
      </c>
      <c r="G149" s="25" t="n">
        <v>36.75</v>
      </c>
      <c r="H149" s="37" t="n">
        <v>1.88</v>
      </c>
      <c r="I149" s="38">
        <f>H149*0.25</f>
        <v/>
      </c>
      <c r="J149" s="35">
        <f>J148+I149</f>
        <v/>
      </c>
      <c r="K149" s="15" t="inlineStr">
        <is>
          <t>Valid (Smart Meter)</t>
        </is>
      </c>
      <c r="L149" s="26" t="inlineStr">
        <is>
          <t>Lunch microwave / cooking</t>
        </is>
      </c>
    </row>
    <row r="150">
      <c r="A150" s="12" t="inlineStr">
        <is>
          <t>2025-11-11 13:00:00</t>
        </is>
      </c>
      <c r="B150" s="12" t="inlineStr">
        <is>
          <t>2025-11-11</t>
        </is>
      </c>
      <c r="C150" s="12" t="inlineStr">
        <is>
          <t>13:00</t>
        </is>
      </c>
      <c r="D150" s="12" t="inlineStr">
        <is>
          <t>Tuesday</t>
        </is>
      </c>
      <c r="E150" s="12" t="n">
        <v>148</v>
      </c>
      <c r="F150" s="27" t="n">
        <v>133200</v>
      </c>
      <c r="G150" s="27" t="n">
        <v>37</v>
      </c>
      <c r="H150" s="39" t="n">
        <v>0.618</v>
      </c>
      <c r="I150" s="40">
        <f>H150*0.25</f>
        <v/>
      </c>
      <c r="J150" s="34">
        <f>J149+I150</f>
        <v/>
      </c>
      <c r="K150" s="12" t="inlineStr">
        <is>
          <t>Valid (Smart Meter)</t>
        </is>
      </c>
      <c r="L150" s="28" t="inlineStr">
        <is>
          <t>Daytime low activity / Home office</t>
        </is>
      </c>
    </row>
    <row r="151">
      <c r="A151" s="12" t="inlineStr">
        <is>
          <t>2025-11-11 13:15:00</t>
        </is>
      </c>
      <c r="B151" s="12" t="inlineStr">
        <is>
          <t>2025-11-11</t>
        </is>
      </c>
      <c r="C151" s="12" t="inlineStr">
        <is>
          <t>13:15</t>
        </is>
      </c>
      <c r="D151" s="12" t="inlineStr">
        <is>
          <t>Tuesday</t>
        </is>
      </c>
      <c r="E151" s="12" t="n">
        <v>149</v>
      </c>
      <c r="F151" s="27" t="n">
        <v>134100</v>
      </c>
      <c r="G151" s="27" t="n">
        <v>37.25</v>
      </c>
      <c r="H151" s="39" t="n">
        <v>0.645</v>
      </c>
      <c r="I151" s="40">
        <f>H151*0.25</f>
        <v/>
      </c>
      <c r="J151" s="34">
        <f>J150+I151</f>
        <v/>
      </c>
      <c r="K151" s="12" t="inlineStr">
        <is>
          <t>Valid (Smart Meter)</t>
        </is>
      </c>
      <c r="L151" s="28" t="inlineStr">
        <is>
          <t>Daytime low activity / Home office</t>
        </is>
      </c>
    </row>
    <row r="152">
      <c r="A152" s="12" t="inlineStr">
        <is>
          <t>2025-11-11 13:30:00</t>
        </is>
      </c>
      <c r="B152" s="12" t="inlineStr">
        <is>
          <t>2025-11-11</t>
        </is>
      </c>
      <c r="C152" s="12" t="inlineStr">
        <is>
          <t>13:30</t>
        </is>
      </c>
      <c r="D152" s="12" t="inlineStr">
        <is>
          <t>Tuesday</t>
        </is>
      </c>
      <c r="E152" s="12" t="n">
        <v>150</v>
      </c>
      <c r="F152" s="27" t="n">
        <v>135000</v>
      </c>
      <c r="G152" s="27" t="n">
        <v>37.5</v>
      </c>
      <c r="H152" s="39" t="n">
        <v>0.608</v>
      </c>
      <c r="I152" s="40">
        <f>H152*0.25</f>
        <v/>
      </c>
      <c r="J152" s="34">
        <f>J151+I152</f>
        <v/>
      </c>
      <c r="K152" s="12" t="inlineStr">
        <is>
          <t>Valid (Smart Meter)</t>
        </is>
      </c>
      <c r="L152" s="28" t="inlineStr">
        <is>
          <t>Daytime low activity / Home office</t>
        </is>
      </c>
    </row>
    <row r="153">
      <c r="A153" s="12" t="inlineStr">
        <is>
          <t>2025-11-11 13:45:00</t>
        </is>
      </c>
      <c r="B153" s="12" t="inlineStr">
        <is>
          <t>2025-11-11</t>
        </is>
      </c>
      <c r="C153" s="12" t="inlineStr">
        <is>
          <t>13:45</t>
        </is>
      </c>
      <c r="D153" s="12" t="inlineStr">
        <is>
          <t>Tuesday</t>
        </is>
      </c>
      <c r="E153" s="12" t="n">
        <v>151</v>
      </c>
      <c r="F153" s="27" t="n">
        <v>135900</v>
      </c>
      <c r="G153" s="27" t="n">
        <v>37.75</v>
      </c>
      <c r="H153" s="39" t="n">
        <v>0.588</v>
      </c>
      <c r="I153" s="40">
        <f>H153*0.25</f>
        <v/>
      </c>
      <c r="J153" s="34">
        <f>J152+I153</f>
        <v/>
      </c>
      <c r="K153" s="12" t="inlineStr">
        <is>
          <t>Valid (Smart Meter)</t>
        </is>
      </c>
      <c r="L153" s="28" t="inlineStr">
        <is>
          <t>Daytime low activity / Home office</t>
        </is>
      </c>
    </row>
    <row r="154">
      <c r="A154" s="15" t="inlineStr">
        <is>
          <t>2025-11-11 14:00:00</t>
        </is>
      </c>
      <c r="B154" s="15" t="inlineStr">
        <is>
          <t>2025-11-11</t>
        </is>
      </c>
      <c r="C154" s="15" t="inlineStr">
        <is>
          <t>14:00</t>
        </is>
      </c>
      <c r="D154" s="15" t="inlineStr">
        <is>
          <t>Tuesday</t>
        </is>
      </c>
      <c r="E154" s="15" t="n">
        <v>152</v>
      </c>
      <c r="F154" s="25" t="n">
        <v>136800</v>
      </c>
      <c r="G154" s="25" t="n">
        <v>38</v>
      </c>
      <c r="H154" s="37" t="n">
        <v>0.628</v>
      </c>
      <c r="I154" s="38">
        <f>H154*0.25</f>
        <v/>
      </c>
      <c r="J154" s="35">
        <f>J153+I154</f>
        <v/>
      </c>
      <c r="K154" s="15" t="inlineStr">
        <is>
          <t>Valid (Smart Meter)</t>
        </is>
      </c>
      <c r="L154" s="26" t="inlineStr">
        <is>
          <t>Daytime low activity / Home office</t>
        </is>
      </c>
    </row>
    <row r="155">
      <c r="A155" s="15" t="inlineStr">
        <is>
          <t>2025-11-11 14:15:00</t>
        </is>
      </c>
      <c r="B155" s="15" t="inlineStr">
        <is>
          <t>2025-11-11</t>
        </is>
      </c>
      <c r="C155" s="15" t="inlineStr">
        <is>
          <t>14:15</t>
        </is>
      </c>
      <c r="D155" s="15" t="inlineStr">
        <is>
          <t>Tuesday</t>
        </is>
      </c>
      <c r="E155" s="15" t="n">
        <v>153</v>
      </c>
      <c r="F155" s="25" t="n">
        <v>137700</v>
      </c>
      <c r="G155" s="25" t="n">
        <v>38.25</v>
      </c>
      <c r="H155" s="37" t="n">
        <v>0.694</v>
      </c>
      <c r="I155" s="38">
        <f>H155*0.25</f>
        <v/>
      </c>
      <c r="J155" s="35">
        <f>J154+I155</f>
        <v/>
      </c>
      <c r="K155" s="15" t="inlineStr">
        <is>
          <t>Valid (Smart Meter)</t>
        </is>
      </c>
      <c r="L155" s="26" t="inlineStr">
        <is>
          <t>Daytime low activity / Home office</t>
        </is>
      </c>
    </row>
    <row r="156">
      <c r="A156" s="15" t="inlineStr">
        <is>
          <t>2025-11-11 14:30:00</t>
        </is>
      </c>
      <c r="B156" s="15" t="inlineStr">
        <is>
          <t>2025-11-11</t>
        </is>
      </c>
      <c r="C156" s="15" t="inlineStr">
        <is>
          <t>14:30</t>
        </is>
      </c>
      <c r="D156" s="15" t="inlineStr">
        <is>
          <t>Tuesday</t>
        </is>
      </c>
      <c r="E156" s="15" t="n">
        <v>154</v>
      </c>
      <c r="F156" s="25" t="n">
        <v>138600</v>
      </c>
      <c r="G156" s="25" t="n">
        <v>38.5</v>
      </c>
      <c r="H156" s="37" t="n">
        <v>0.622</v>
      </c>
      <c r="I156" s="38">
        <f>H156*0.25</f>
        <v/>
      </c>
      <c r="J156" s="35">
        <f>J155+I156</f>
        <v/>
      </c>
      <c r="K156" s="15" t="inlineStr">
        <is>
          <t>Valid (Smart Meter)</t>
        </is>
      </c>
      <c r="L156" s="26" t="inlineStr">
        <is>
          <t>Daytime low activity / Home office</t>
        </is>
      </c>
    </row>
    <row r="157">
      <c r="A157" s="15" t="inlineStr">
        <is>
          <t>2025-11-11 14:45:00</t>
        </is>
      </c>
      <c r="B157" s="15" t="inlineStr">
        <is>
          <t>2025-11-11</t>
        </is>
      </c>
      <c r="C157" s="15" t="inlineStr">
        <is>
          <t>14:45</t>
        </is>
      </c>
      <c r="D157" s="15" t="inlineStr">
        <is>
          <t>Tuesday</t>
        </is>
      </c>
      <c r="E157" s="15" t="n">
        <v>155</v>
      </c>
      <c r="F157" s="25" t="n">
        <v>139500</v>
      </c>
      <c r="G157" s="25" t="n">
        <v>38.75</v>
      </c>
      <c r="H157" s="37" t="n">
        <v>0.695</v>
      </c>
      <c r="I157" s="38">
        <f>H157*0.25</f>
        <v/>
      </c>
      <c r="J157" s="35">
        <f>J156+I157</f>
        <v/>
      </c>
      <c r="K157" s="15" t="inlineStr">
        <is>
          <t>Valid (Smart Meter)</t>
        </is>
      </c>
      <c r="L157" s="26" t="inlineStr">
        <is>
          <t>Daytime low activity / Home office</t>
        </is>
      </c>
    </row>
    <row r="158">
      <c r="A158" s="12" t="inlineStr">
        <is>
          <t>2025-11-11 15:00:00</t>
        </is>
      </c>
      <c r="B158" s="12" t="inlineStr">
        <is>
          <t>2025-11-11</t>
        </is>
      </c>
      <c r="C158" s="12" t="inlineStr">
        <is>
          <t>15:00</t>
        </is>
      </c>
      <c r="D158" s="12" t="inlineStr">
        <is>
          <t>Tuesday</t>
        </is>
      </c>
      <c r="E158" s="12" t="n">
        <v>156</v>
      </c>
      <c r="F158" s="27" t="n">
        <v>140400</v>
      </c>
      <c r="G158" s="27" t="n">
        <v>39</v>
      </c>
      <c r="H158" s="39" t="n">
        <v>0.724</v>
      </c>
      <c r="I158" s="40">
        <f>H158*0.25</f>
        <v/>
      </c>
      <c r="J158" s="34">
        <f>J157+I158</f>
        <v/>
      </c>
      <c r="K158" s="12" t="inlineStr">
        <is>
          <t>Valid (Smart Meter)</t>
        </is>
      </c>
      <c r="L158" s="28" t="inlineStr">
        <is>
          <t>Daytime low activity / Home office</t>
        </is>
      </c>
    </row>
    <row r="159">
      <c r="A159" s="12" t="inlineStr">
        <is>
          <t>2025-11-11 15:15:00</t>
        </is>
      </c>
      <c r="B159" s="12" t="inlineStr">
        <is>
          <t>2025-11-11</t>
        </is>
      </c>
      <c r="C159" s="12" t="inlineStr">
        <is>
          <t>15:15</t>
        </is>
      </c>
      <c r="D159" s="12" t="inlineStr">
        <is>
          <t>Tuesday</t>
        </is>
      </c>
      <c r="E159" s="12" t="n">
        <v>157</v>
      </c>
      <c r="F159" s="27" t="n">
        <v>141300</v>
      </c>
      <c r="G159" s="27" t="n">
        <v>39.25</v>
      </c>
      <c r="H159" s="39" t="n">
        <v>0.62</v>
      </c>
      <c r="I159" s="40">
        <f>H159*0.25</f>
        <v/>
      </c>
      <c r="J159" s="34">
        <f>J158+I159</f>
        <v/>
      </c>
      <c r="K159" s="12" t="inlineStr">
        <is>
          <t>Valid (Smart Meter)</t>
        </is>
      </c>
      <c r="L159" s="28" t="inlineStr">
        <is>
          <t>Daytime low activity / Home office</t>
        </is>
      </c>
    </row>
    <row r="160">
      <c r="A160" s="12" t="inlineStr">
        <is>
          <t>2025-11-11 15:30:00</t>
        </is>
      </c>
      <c r="B160" s="12" t="inlineStr">
        <is>
          <t>2025-11-11</t>
        </is>
      </c>
      <c r="C160" s="12" t="inlineStr">
        <is>
          <t>15:30</t>
        </is>
      </c>
      <c r="D160" s="12" t="inlineStr">
        <is>
          <t>Tuesday</t>
        </is>
      </c>
      <c r="E160" s="12" t="n">
        <v>158</v>
      </c>
      <c r="F160" s="27" t="n">
        <v>142200</v>
      </c>
      <c r="G160" s="27" t="n">
        <v>39.5</v>
      </c>
      <c r="H160" s="39" t="n">
        <v>0.642</v>
      </c>
      <c r="I160" s="40">
        <f>H160*0.25</f>
        <v/>
      </c>
      <c r="J160" s="34">
        <f>J159+I160</f>
        <v/>
      </c>
      <c r="K160" s="12" t="inlineStr">
        <is>
          <t>Valid (Smart Meter)</t>
        </is>
      </c>
      <c r="L160" s="28" t="inlineStr">
        <is>
          <t>Daytime low activity / Home office</t>
        </is>
      </c>
    </row>
    <row r="161">
      <c r="A161" s="12" t="inlineStr">
        <is>
          <t>2025-11-11 15:45:00</t>
        </is>
      </c>
      <c r="B161" s="12" t="inlineStr">
        <is>
          <t>2025-11-11</t>
        </is>
      </c>
      <c r="C161" s="12" t="inlineStr">
        <is>
          <t>15:45</t>
        </is>
      </c>
      <c r="D161" s="12" t="inlineStr">
        <is>
          <t>Tuesday</t>
        </is>
      </c>
      <c r="E161" s="12" t="n">
        <v>159</v>
      </c>
      <c r="F161" s="27" t="n">
        <v>143100</v>
      </c>
      <c r="G161" s="27" t="n">
        <v>39.75</v>
      </c>
      <c r="H161" s="39" t="n">
        <v>0.68</v>
      </c>
      <c r="I161" s="40">
        <f>H161*0.25</f>
        <v/>
      </c>
      <c r="J161" s="34">
        <f>J160+I161</f>
        <v/>
      </c>
      <c r="K161" s="12" t="inlineStr">
        <is>
          <t>Valid (Smart Meter)</t>
        </is>
      </c>
      <c r="L161" s="28" t="inlineStr">
        <is>
          <t>Daytime low activity / Home office</t>
        </is>
      </c>
    </row>
    <row r="162">
      <c r="A162" s="15" t="inlineStr">
        <is>
          <t>2025-11-11 16:00:00</t>
        </is>
      </c>
      <c r="B162" s="15" t="inlineStr">
        <is>
          <t>2025-11-11</t>
        </is>
      </c>
      <c r="C162" s="15" t="inlineStr">
        <is>
          <t>16:00</t>
        </is>
      </c>
      <c r="D162" s="15" t="inlineStr">
        <is>
          <t>Tuesday</t>
        </is>
      </c>
      <c r="E162" s="15" t="n">
        <v>160</v>
      </c>
      <c r="F162" s="25" t="n">
        <v>144000</v>
      </c>
      <c r="G162" s="25" t="n">
        <v>40</v>
      </c>
      <c r="H162" s="37" t="n">
        <v>0.725</v>
      </c>
      <c r="I162" s="38">
        <f>H162*0.25</f>
        <v/>
      </c>
      <c r="J162" s="35">
        <f>J161+I162</f>
        <v/>
      </c>
      <c r="K162" s="15" t="inlineStr">
        <is>
          <t>Valid (Smart Meter)</t>
        </is>
      </c>
      <c r="L162" s="26" t="inlineStr">
        <is>
          <t>Daytime low activity / Home office</t>
        </is>
      </c>
    </row>
    <row r="163">
      <c r="A163" s="15" t="inlineStr">
        <is>
          <t>2025-11-11 16:15:00</t>
        </is>
      </c>
      <c r="B163" s="15" t="inlineStr">
        <is>
          <t>2025-11-11</t>
        </is>
      </c>
      <c r="C163" s="15" t="inlineStr">
        <is>
          <t>16:15</t>
        </is>
      </c>
      <c r="D163" s="15" t="inlineStr">
        <is>
          <t>Tuesday</t>
        </is>
      </c>
      <c r="E163" s="15" t="n">
        <v>161</v>
      </c>
      <c r="F163" s="25" t="n">
        <v>144900</v>
      </c>
      <c r="G163" s="25" t="n">
        <v>40.25</v>
      </c>
      <c r="H163" s="37" t="n">
        <v>0.6840000000000001</v>
      </c>
      <c r="I163" s="38">
        <f>H163*0.25</f>
        <v/>
      </c>
      <c r="J163" s="35">
        <f>J162+I163</f>
        <v/>
      </c>
      <c r="K163" s="15" t="inlineStr">
        <is>
          <t>Valid (Smart Meter)</t>
        </is>
      </c>
      <c r="L163" s="26" t="inlineStr">
        <is>
          <t>Daytime low activity / Home office</t>
        </is>
      </c>
    </row>
    <row r="164">
      <c r="A164" s="15" t="inlineStr">
        <is>
          <t>2025-11-11 16:30:00</t>
        </is>
      </c>
      <c r="B164" s="15" t="inlineStr">
        <is>
          <t>2025-11-11</t>
        </is>
      </c>
      <c r="C164" s="15" t="inlineStr">
        <is>
          <t>16:30</t>
        </is>
      </c>
      <c r="D164" s="15" t="inlineStr">
        <is>
          <t>Tuesday</t>
        </is>
      </c>
      <c r="E164" s="15" t="n">
        <v>162</v>
      </c>
      <c r="F164" s="25" t="n">
        <v>145800</v>
      </c>
      <c r="G164" s="25" t="n">
        <v>40.5</v>
      </c>
      <c r="H164" s="37" t="n">
        <v>1.529</v>
      </c>
      <c r="I164" s="38">
        <f>H164*0.25</f>
        <v/>
      </c>
      <c r="J164" s="35">
        <f>J163+I164</f>
        <v/>
      </c>
      <c r="K164" s="15" t="inlineStr">
        <is>
          <t>Valid (Smart Meter)</t>
        </is>
      </c>
      <c r="L164" s="26" t="inlineStr">
        <is>
          <t>Evening living / Lighting / Heat</t>
        </is>
      </c>
    </row>
    <row r="165">
      <c r="A165" s="15" t="inlineStr">
        <is>
          <t>2025-11-11 16:45:00</t>
        </is>
      </c>
      <c r="B165" s="15" t="inlineStr">
        <is>
          <t>2025-11-11</t>
        </is>
      </c>
      <c r="C165" s="15" t="inlineStr">
        <is>
          <t>16:45</t>
        </is>
      </c>
      <c r="D165" s="15" t="inlineStr">
        <is>
          <t>Tuesday</t>
        </is>
      </c>
      <c r="E165" s="15" t="n">
        <v>163</v>
      </c>
      <c r="F165" s="25" t="n">
        <v>146700</v>
      </c>
      <c r="G165" s="25" t="n">
        <v>40.75</v>
      </c>
      <c r="H165" s="37" t="n">
        <v>1.646</v>
      </c>
      <c r="I165" s="38">
        <f>H165*0.25</f>
        <v/>
      </c>
      <c r="J165" s="35">
        <f>J164+I165</f>
        <v/>
      </c>
      <c r="K165" s="15" t="inlineStr">
        <is>
          <t>Valid (Smart Meter)</t>
        </is>
      </c>
      <c r="L165" s="26" t="inlineStr">
        <is>
          <t>Evening living / Lighting / Heat</t>
        </is>
      </c>
    </row>
    <row r="166">
      <c r="A166" s="12" t="inlineStr">
        <is>
          <t>2025-11-11 17:00:00</t>
        </is>
      </c>
      <c r="B166" s="12" t="inlineStr">
        <is>
          <t>2025-11-11</t>
        </is>
      </c>
      <c r="C166" s="12" t="inlineStr">
        <is>
          <t>17:00</t>
        </is>
      </c>
      <c r="D166" s="12" t="inlineStr">
        <is>
          <t>Tuesday</t>
        </is>
      </c>
      <c r="E166" s="12" t="n">
        <v>164</v>
      </c>
      <c r="F166" s="27" t="n">
        <v>147600</v>
      </c>
      <c r="G166" s="27" t="n">
        <v>41</v>
      </c>
      <c r="H166" s="39" t="n">
        <v>1.59</v>
      </c>
      <c r="I166" s="40">
        <f>H166*0.25</f>
        <v/>
      </c>
      <c r="J166" s="34">
        <f>J165+I166</f>
        <v/>
      </c>
      <c r="K166" s="12" t="inlineStr">
        <is>
          <t>Valid (Smart Meter)</t>
        </is>
      </c>
      <c r="L166" s="28" t="inlineStr">
        <is>
          <t>Evening living / Lighting / Heat</t>
        </is>
      </c>
    </row>
    <row r="167">
      <c r="A167" s="12" t="inlineStr">
        <is>
          <t>2025-11-11 17:15:00</t>
        </is>
      </c>
      <c r="B167" s="12" t="inlineStr">
        <is>
          <t>2025-11-11</t>
        </is>
      </c>
      <c r="C167" s="12" t="inlineStr">
        <is>
          <t>17:15</t>
        </is>
      </c>
      <c r="D167" s="12" t="inlineStr">
        <is>
          <t>Tuesday</t>
        </is>
      </c>
      <c r="E167" s="12" t="n">
        <v>165</v>
      </c>
      <c r="F167" s="27" t="n">
        <v>148500</v>
      </c>
      <c r="G167" s="27" t="n">
        <v>41.25</v>
      </c>
      <c r="H167" s="39" t="n">
        <v>1.619</v>
      </c>
      <c r="I167" s="40">
        <f>H167*0.25</f>
        <v/>
      </c>
      <c r="J167" s="34">
        <f>J166+I167</f>
        <v/>
      </c>
      <c r="K167" s="12" t="inlineStr">
        <is>
          <t>Valid (Smart Meter)</t>
        </is>
      </c>
      <c r="L167" s="28" t="inlineStr">
        <is>
          <t>Evening living / Lighting / Heat</t>
        </is>
      </c>
    </row>
    <row r="168">
      <c r="A168" s="12" t="inlineStr">
        <is>
          <t>2025-11-11 17:30:00</t>
        </is>
      </c>
      <c r="B168" s="12" t="inlineStr">
        <is>
          <t>2025-11-11</t>
        </is>
      </c>
      <c r="C168" s="12" t="inlineStr">
        <is>
          <t>17:30</t>
        </is>
      </c>
      <c r="D168" s="12" t="inlineStr">
        <is>
          <t>Tuesday</t>
        </is>
      </c>
      <c r="E168" s="12" t="n">
        <v>166</v>
      </c>
      <c r="F168" s="27" t="n">
        <v>149400</v>
      </c>
      <c r="G168" s="27" t="n">
        <v>41.5</v>
      </c>
      <c r="H168" s="39" t="n">
        <v>1.624</v>
      </c>
      <c r="I168" s="40">
        <f>H168*0.25</f>
        <v/>
      </c>
      <c r="J168" s="34">
        <f>J167+I168</f>
        <v/>
      </c>
      <c r="K168" s="12" t="inlineStr">
        <is>
          <t>Valid (Smart Meter)</t>
        </is>
      </c>
      <c r="L168" s="28" t="inlineStr">
        <is>
          <t>Evening living / Lighting / Heat</t>
        </is>
      </c>
    </row>
    <row r="169">
      <c r="A169" s="12" t="inlineStr">
        <is>
          <t>2025-11-11 17:45:00</t>
        </is>
      </c>
      <c r="B169" s="12" t="inlineStr">
        <is>
          <t>2025-11-11</t>
        </is>
      </c>
      <c r="C169" s="12" t="inlineStr">
        <is>
          <t>17:45</t>
        </is>
      </c>
      <c r="D169" s="12" t="inlineStr">
        <is>
          <t>Tuesday</t>
        </is>
      </c>
      <c r="E169" s="12" t="n">
        <v>167</v>
      </c>
      <c r="F169" s="27" t="n">
        <v>150300</v>
      </c>
      <c r="G169" s="27" t="n">
        <v>41.75</v>
      </c>
      <c r="H169" s="39" t="n">
        <v>1.734</v>
      </c>
      <c r="I169" s="40">
        <f>H169*0.25</f>
        <v/>
      </c>
      <c r="J169" s="34">
        <f>J168+I169</f>
        <v/>
      </c>
      <c r="K169" s="12" t="inlineStr">
        <is>
          <t>Valid (Smart Meter)</t>
        </is>
      </c>
      <c r="L169" s="28" t="inlineStr">
        <is>
          <t>Evening living / Lighting / Heat</t>
        </is>
      </c>
    </row>
    <row r="170">
      <c r="A170" s="15" t="inlineStr">
        <is>
          <t>2025-11-11 18:00:00</t>
        </is>
      </c>
      <c r="B170" s="15" t="inlineStr">
        <is>
          <t>2025-11-11</t>
        </is>
      </c>
      <c r="C170" s="15" t="inlineStr">
        <is>
          <t>18:00</t>
        </is>
      </c>
      <c r="D170" s="15" t="inlineStr">
        <is>
          <t>Tuesday</t>
        </is>
      </c>
      <c r="E170" s="15" t="n">
        <v>168</v>
      </c>
      <c r="F170" s="25" t="n">
        <v>151200</v>
      </c>
      <c r="G170" s="25" t="n">
        <v>42</v>
      </c>
      <c r="H170" s="37" t="n">
        <v>4.315</v>
      </c>
      <c r="I170" s="38">
        <f>H170*0.25</f>
        <v/>
      </c>
      <c r="J170" s="35">
        <f>J169+I170</f>
        <v/>
      </c>
      <c r="K170" s="15" t="inlineStr">
        <is>
          <t>Valid (Smart Meter)</t>
        </is>
      </c>
      <c r="L170" s="26" t="inlineStr">
        <is>
          <t>Dinner cooking (Oven / Induction hob)</t>
        </is>
      </c>
    </row>
    <row r="171">
      <c r="A171" s="15" t="inlineStr">
        <is>
          <t>2025-11-11 18:15:00</t>
        </is>
      </c>
      <c r="B171" s="15" t="inlineStr">
        <is>
          <t>2025-11-11</t>
        </is>
      </c>
      <c r="C171" s="15" t="inlineStr">
        <is>
          <t>18:15</t>
        </is>
      </c>
      <c r="D171" s="15" t="inlineStr">
        <is>
          <t>Tuesday</t>
        </is>
      </c>
      <c r="E171" s="15" t="n">
        <v>169</v>
      </c>
      <c r="F171" s="25" t="n">
        <v>152100</v>
      </c>
      <c r="G171" s="25" t="n">
        <v>42.25</v>
      </c>
      <c r="H171" s="37" t="n">
        <v>4.118</v>
      </c>
      <c r="I171" s="38">
        <f>H171*0.25</f>
        <v/>
      </c>
      <c r="J171" s="35">
        <f>J170+I171</f>
        <v/>
      </c>
      <c r="K171" s="15" t="inlineStr">
        <is>
          <t>Valid (Smart Meter)</t>
        </is>
      </c>
      <c r="L171" s="26" t="inlineStr">
        <is>
          <t>Dinner cooking (Oven / Induction hob)</t>
        </is>
      </c>
    </row>
    <row r="172">
      <c r="A172" s="15" t="inlineStr">
        <is>
          <t>2025-11-11 18:30:00</t>
        </is>
      </c>
      <c r="B172" s="15" t="inlineStr">
        <is>
          <t>2025-11-11</t>
        </is>
      </c>
      <c r="C172" s="15" t="inlineStr">
        <is>
          <t>18:30</t>
        </is>
      </c>
      <c r="D172" s="15" t="inlineStr">
        <is>
          <t>Tuesday</t>
        </is>
      </c>
      <c r="E172" s="15" t="n">
        <v>170</v>
      </c>
      <c r="F172" s="25" t="n">
        <v>153000</v>
      </c>
      <c r="G172" s="25" t="n">
        <v>42.5</v>
      </c>
      <c r="H172" s="37" t="n">
        <v>4.206</v>
      </c>
      <c r="I172" s="38">
        <f>H172*0.25</f>
        <v/>
      </c>
      <c r="J172" s="35">
        <f>J171+I172</f>
        <v/>
      </c>
      <c r="K172" s="15" t="inlineStr">
        <is>
          <t>Valid (Smart Meter)</t>
        </is>
      </c>
      <c r="L172" s="26" t="inlineStr">
        <is>
          <t>Dinner cooking (Oven / Induction hob)</t>
        </is>
      </c>
    </row>
    <row r="173">
      <c r="A173" s="15" t="inlineStr">
        <is>
          <t>2025-11-11 18:45:00</t>
        </is>
      </c>
      <c r="B173" s="15" t="inlineStr">
        <is>
          <t>2025-11-11</t>
        </is>
      </c>
      <c r="C173" s="15" t="inlineStr">
        <is>
          <t>18:45</t>
        </is>
      </c>
      <c r="D173" s="15" t="inlineStr">
        <is>
          <t>Tuesday</t>
        </is>
      </c>
      <c r="E173" s="15" t="n">
        <v>171</v>
      </c>
      <c r="F173" s="25" t="n">
        <v>153900</v>
      </c>
      <c r="G173" s="25" t="n">
        <v>42.75</v>
      </c>
      <c r="H173" s="37" t="n">
        <v>4.57</v>
      </c>
      <c r="I173" s="38">
        <f>H173*0.25</f>
        <v/>
      </c>
      <c r="J173" s="35">
        <f>J172+I173</f>
        <v/>
      </c>
      <c r="K173" s="15" t="inlineStr">
        <is>
          <t>Valid (Smart Meter)</t>
        </is>
      </c>
      <c r="L173" s="26" t="inlineStr">
        <is>
          <t>Dinner cooking (Oven / Induction hob)</t>
        </is>
      </c>
    </row>
    <row r="174">
      <c r="A174" s="12" t="inlineStr">
        <is>
          <t>2025-11-11 19:00:00</t>
        </is>
      </c>
      <c r="B174" s="12" t="inlineStr">
        <is>
          <t>2025-11-11</t>
        </is>
      </c>
      <c r="C174" s="12" t="inlineStr">
        <is>
          <t>19:00</t>
        </is>
      </c>
      <c r="D174" s="12" t="inlineStr">
        <is>
          <t>Tuesday</t>
        </is>
      </c>
      <c r="E174" s="12" t="n">
        <v>172</v>
      </c>
      <c r="F174" s="27" t="n">
        <v>154800</v>
      </c>
      <c r="G174" s="27" t="n">
        <v>43</v>
      </c>
      <c r="H174" s="39" t="n">
        <v>4.336</v>
      </c>
      <c r="I174" s="40">
        <f>H174*0.25</f>
        <v/>
      </c>
      <c r="J174" s="34">
        <f>J173+I174</f>
        <v/>
      </c>
      <c r="K174" s="12" t="inlineStr">
        <is>
          <t>Valid (Smart Meter)</t>
        </is>
      </c>
      <c r="L174" s="28" t="inlineStr">
        <is>
          <t>Dinner cooking (Oven / Induction hob)</t>
        </is>
      </c>
    </row>
    <row r="175">
      <c r="A175" s="12" t="inlineStr">
        <is>
          <t>2025-11-11 19:15:00</t>
        </is>
      </c>
      <c r="B175" s="12" t="inlineStr">
        <is>
          <t>2025-11-11</t>
        </is>
      </c>
      <c r="C175" s="12" t="inlineStr">
        <is>
          <t>19:15</t>
        </is>
      </c>
      <c r="D175" s="12" t="inlineStr">
        <is>
          <t>Tuesday</t>
        </is>
      </c>
      <c r="E175" s="12" t="n">
        <v>173</v>
      </c>
      <c r="F175" s="27" t="n">
        <v>155700</v>
      </c>
      <c r="G175" s="27" t="n">
        <v>43.25</v>
      </c>
      <c r="H175" s="39" t="n">
        <v>4.06</v>
      </c>
      <c r="I175" s="40">
        <f>H175*0.25</f>
        <v/>
      </c>
      <c r="J175" s="34">
        <f>J174+I175</f>
        <v/>
      </c>
      <c r="K175" s="12" t="inlineStr">
        <is>
          <t>Valid (Smart Meter)</t>
        </is>
      </c>
      <c r="L175" s="28" t="inlineStr">
        <is>
          <t>Dinner cooking (Oven / Induction hob)</t>
        </is>
      </c>
    </row>
    <row r="176">
      <c r="A176" s="12" t="inlineStr">
        <is>
          <t>2025-11-11 19:30:00</t>
        </is>
      </c>
      <c r="B176" s="12" t="inlineStr">
        <is>
          <t>2025-11-11</t>
        </is>
      </c>
      <c r="C176" s="12" t="inlineStr">
        <is>
          <t>19:30</t>
        </is>
      </c>
      <c r="D176" s="12" t="inlineStr">
        <is>
          <t>Tuesday</t>
        </is>
      </c>
      <c r="E176" s="12" t="n">
        <v>174</v>
      </c>
      <c r="F176" s="27" t="n">
        <v>156600</v>
      </c>
      <c r="G176" s="27" t="n">
        <v>43.5</v>
      </c>
      <c r="H176" s="39" t="n">
        <v>4.351</v>
      </c>
      <c r="I176" s="40">
        <f>H176*0.25</f>
        <v/>
      </c>
      <c r="J176" s="34">
        <f>J175+I176</f>
        <v/>
      </c>
      <c r="K176" s="12" t="inlineStr">
        <is>
          <t>Valid (Smart Meter)</t>
        </is>
      </c>
      <c r="L176" s="28" t="inlineStr">
        <is>
          <t>Dinner cooking (Oven / Induction hob)</t>
        </is>
      </c>
    </row>
    <row r="177">
      <c r="A177" s="12" t="inlineStr">
        <is>
          <t>2025-11-11 19:45:00</t>
        </is>
      </c>
      <c r="B177" s="12" t="inlineStr">
        <is>
          <t>2025-11-11</t>
        </is>
      </c>
      <c r="C177" s="12" t="inlineStr">
        <is>
          <t>19:45</t>
        </is>
      </c>
      <c r="D177" s="12" t="inlineStr">
        <is>
          <t>Tuesday</t>
        </is>
      </c>
      <c r="E177" s="12" t="n">
        <v>175</v>
      </c>
      <c r="F177" s="27" t="n">
        <v>157500</v>
      </c>
      <c r="G177" s="27" t="n">
        <v>43.75</v>
      </c>
      <c r="H177" s="39" t="n">
        <v>1.95</v>
      </c>
      <c r="I177" s="40">
        <f>H177*0.25</f>
        <v/>
      </c>
      <c r="J177" s="34">
        <f>J176+I177</f>
        <v/>
      </c>
      <c r="K177" s="12" t="inlineStr">
        <is>
          <t>Valid (Smart Meter)</t>
        </is>
      </c>
      <c r="L177" s="28" t="inlineStr">
        <is>
          <t>Evening living / Lighting / Heat</t>
        </is>
      </c>
    </row>
    <row r="178">
      <c r="A178" s="15" t="inlineStr">
        <is>
          <t>2025-11-11 20:00:00</t>
        </is>
      </c>
      <c r="B178" s="15" t="inlineStr">
        <is>
          <t>2025-11-11</t>
        </is>
      </c>
      <c r="C178" s="15" t="inlineStr">
        <is>
          <t>20:00</t>
        </is>
      </c>
      <c r="D178" s="15" t="inlineStr">
        <is>
          <t>Tuesday</t>
        </is>
      </c>
      <c r="E178" s="15" t="n">
        <v>176</v>
      </c>
      <c r="F178" s="25" t="n">
        <v>158400</v>
      </c>
      <c r="G178" s="25" t="n">
        <v>44</v>
      </c>
      <c r="H178" s="37" t="n">
        <v>3.276</v>
      </c>
      <c r="I178" s="38">
        <f>H178*0.25</f>
        <v/>
      </c>
      <c r="J178" s="35">
        <f>J177+I178</f>
        <v/>
      </c>
      <c r="K178" s="15" t="inlineStr">
        <is>
          <t>Valid (Smart Meter)</t>
        </is>
      </c>
      <c r="L178" s="26" t="inlineStr">
        <is>
          <t>Dishwasher cycle / TV</t>
        </is>
      </c>
    </row>
    <row r="179">
      <c r="A179" s="15" t="inlineStr">
        <is>
          <t>2025-11-11 20:15:00</t>
        </is>
      </c>
      <c r="B179" s="15" t="inlineStr">
        <is>
          <t>2025-11-11</t>
        </is>
      </c>
      <c r="C179" s="15" t="inlineStr">
        <is>
          <t>20:15</t>
        </is>
      </c>
      <c r="D179" s="15" t="inlineStr">
        <is>
          <t>Tuesday</t>
        </is>
      </c>
      <c r="E179" s="15" t="n">
        <v>177</v>
      </c>
      <c r="F179" s="25" t="n">
        <v>159300</v>
      </c>
      <c r="G179" s="25" t="n">
        <v>44.25</v>
      </c>
      <c r="H179" s="37" t="n">
        <v>3.549</v>
      </c>
      <c r="I179" s="38">
        <f>H179*0.25</f>
        <v/>
      </c>
      <c r="J179" s="35">
        <f>J178+I179</f>
        <v/>
      </c>
      <c r="K179" s="15" t="inlineStr">
        <is>
          <t>Valid (Smart Meter)</t>
        </is>
      </c>
      <c r="L179" s="26" t="inlineStr">
        <is>
          <t>Dishwasher cycle / TV</t>
        </is>
      </c>
    </row>
    <row r="180">
      <c r="A180" s="15" t="inlineStr">
        <is>
          <t>2025-11-11 20:30:00</t>
        </is>
      </c>
      <c r="B180" s="15" t="inlineStr">
        <is>
          <t>2025-11-11</t>
        </is>
      </c>
      <c r="C180" s="15" t="inlineStr">
        <is>
          <t>20:30</t>
        </is>
      </c>
      <c r="D180" s="15" t="inlineStr">
        <is>
          <t>Tuesday</t>
        </is>
      </c>
      <c r="E180" s="15" t="n">
        <v>178</v>
      </c>
      <c r="F180" s="25" t="n">
        <v>160200</v>
      </c>
      <c r="G180" s="25" t="n">
        <v>44.5</v>
      </c>
      <c r="H180" s="37" t="n">
        <v>3.426</v>
      </c>
      <c r="I180" s="38">
        <f>H180*0.25</f>
        <v/>
      </c>
      <c r="J180" s="35">
        <f>J179+I180</f>
        <v/>
      </c>
      <c r="K180" s="15" t="inlineStr">
        <is>
          <t>Valid (Smart Meter)</t>
        </is>
      </c>
      <c r="L180" s="26" t="inlineStr">
        <is>
          <t>Dishwasher cycle / TV</t>
        </is>
      </c>
    </row>
    <row r="181">
      <c r="A181" s="15" t="inlineStr">
        <is>
          <t>2025-11-11 20:45:00</t>
        </is>
      </c>
      <c r="B181" s="15" t="inlineStr">
        <is>
          <t>2025-11-11</t>
        </is>
      </c>
      <c r="C181" s="15" t="inlineStr">
        <is>
          <t>20:45</t>
        </is>
      </c>
      <c r="D181" s="15" t="inlineStr">
        <is>
          <t>Tuesday</t>
        </is>
      </c>
      <c r="E181" s="15" t="n">
        <v>179</v>
      </c>
      <c r="F181" s="25" t="n">
        <v>161100</v>
      </c>
      <c r="G181" s="25" t="n">
        <v>44.75</v>
      </c>
      <c r="H181" s="37" t="n">
        <v>3.537</v>
      </c>
      <c r="I181" s="38">
        <f>H181*0.25</f>
        <v/>
      </c>
      <c r="J181" s="35">
        <f>J180+I181</f>
        <v/>
      </c>
      <c r="K181" s="15" t="inlineStr">
        <is>
          <t>Valid (Smart Meter)</t>
        </is>
      </c>
      <c r="L181" s="26" t="inlineStr">
        <is>
          <t>Dishwasher cycle / TV</t>
        </is>
      </c>
    </row>
    <row r="182">
      <c r="A182" s="12" t="inlineStr">
        <is>
          <t>2025-11-11 21:00:00</t>
        </is>
      </c>
      <c r="B182" s="12" t="inlineStr">
        <is>
          <t>2025-11-11</t>
        </is>
      </c>
      <c r="C182" s="12" t="inlineStr">
        <is>
          <t>21:00</t>
        </is>
      </c>
      <c r="D182" s="12" t="inlineStr">
        <is>
          <t>Tuesday</t>
        </is>
      </c>
      <c r="E182" s="12" t="n">
        <v>180</v>
      </c>
      <c r="F182" s="27" t="n">
        <v>162000</v>
      </c>
      <c r="G182" s="27" t="n">
        <v>45</v>
      </c>
      <c r="H182" s="39" t="n">
        <v>3.401</v>
      </c>
      <c r="I182" s="40">
        <f>H182*0.25</f>
        <v/>
      </c>
      <c r="J182" s="34">
        <f>J181+I182</f>
        <v/>
      </c>
      <c r="K182" s="12" t="inlineStr">
        <is>
          <t>Valid (Smart Meter)</t>
        </is>
      </c>
      <c r="L182" s="28" t="inlineStr">
        <is>
          <t>Dishwasher cycle / TV</t>
        </is>
      </c>
    </row>
    <row r="183">
      <c r="A183" s="12" t="inlineStr">
        <is>
          <t>2025-11-11 21:15:00</t>
        </is>
      </c>
      <c r="B183" s="12" t="inlineStr">
        <is>
          <t>2025-11-11</t>
        </is>
      </c>
      <c r="C183" s="12" t="inlineStr">
        <is>
          <t>21:15</t>
        </is>
      </c>
      <c r="D183" s="12" t="inlineStr">
        <is>
          <t>Tuesday</t>
        </is>
      </c>
      <c r="E183" s="12" t="n">
        <v>181</v>
      </c>
      <c r="F183" s="27" t="n">
        <v>162900</v>
      </c>
      <c r="G183" s="27" t="n">
        <v>45.25</v>
      </c>
      <c r="H183" s="39" t="n">
        <v>3.556</v>
      </c>
      <c r="I183" s="40">
        <f>H183*0.25</f>
        <v/>
      </c>
      <c r="J183" s="34">
        <f>J182+I183</f>
        <v/>
      </c>
      <c r="K183" s="12" t="inlineStr">
        <is>
          <t>Valid (Smart Meter)</t>
        </is>
      </c>
      <c r="L183" s="28" t="inlineStr">
        <is>
          <t>Dishwasher cycle / TV</t>
        </is>
      </c>
    </row>
    <row r="184">
      <c r="A184" s="12" t="inlineStr">
        <is>
          <t>2025-11-11 21:30:00</t>
        </is>
      </c>
      <c r="B184" s="12" t="inlineStr">
        <is>
          <t>2025-11-11</t>
        </is>
      </c>
      <c r="C184" s="12" t="inlineStr">
        <is>
          <t>21:30</t>
        </is>
      </c>
      <c r="D184" s="12" t="inlineStr">
        <is>
          <t>Tuesday</t>
        </is>
      </c>
      <c r="E184" s="12" t="n">
        <v>182</v>
      </c>
      <c r="F184" s="27" t="n">
        <v>163800</v>
      </c>
      <c r="G184" s="27" t="n">
        <v>45.5</v>
      </c>
      <c r="H184" s="39" t="n">
        <v>3.683</v>
      </c>
      <c r="I184" s="40">
        <f>H184*0.25</f>
        <v/>
      </c>
      <c r="J184" s="34">
        <f>J183+I184</f>
        <v/>
      </c>
      <c r="K184" s="12" t="inlineStr">
        <is>
          <t>Valid (Smart Meter)</t>
        </is>
      </c>
      <c r="L184" s="28" t="inlineStr">
        <is>
          <t>Dishwasher cycle / TV</t>
        </is>
      </c>
    </row>
    <row r="185">
      <c r="A185" s="12" t="inlineStr">
        <is>
          <t>2025-11-11 21:45:00</t>
        </is>
      </c>
      <c r="B185" s="12" t="inlineStr">
        <is>
          <t>2025-11-11</t>
        </is>
      </c>
      <c r="C185" s="12" t="inlineStr">
        <is>
          <t>21:45</t>
        </is>
      </c>
      <c r="D185" s="12" t="inlineStr">
        <is>
          <t>Tuesday</t>
        </is>
      </c>
      <c r="E185" s="12" t="n">
        <v>183</v>
      </c>
      <c r="F185" s="27" t="n">
        <v>164700</v>
      </c>
      <c r="G185" s="27" t="n">
        <v>45.75</v>
      </c>
      <c r="H185" s="39" t="n">
        <v>1.921</v>
      </c>
      <c r="I185" s="40">
        <f>H185*0.25</f>
        <v/>
      </c>
      <c r="J185" s="34">
        <f>J184+I185</f>
        <v/>
      </c>
      <c r="K185" s="12" t="inlineStr">
        <is>
          <t>Valid (Smart Meter)</t>
        </is>
      </c>
      <c r="L185" s="28" t="inlineStr">
        <is>
          <t>Evening living / Lighting / Heat</t>
        </is>
      </c>
    </row>
    <row r="186">
      <c r="A186" s="15" t="inlineStr">
        <is>
          <t>2025-11-11 22:00:00</t>
        </is>
      </c>
      <c r="B186" s="15" t="inlineStr">
        <is>
          <t>2025-11-11</t>
        </is>
      </c>
      <c r="C186" s="15" t="inlineStr">
        <is>
          <t>22:00</t>
        </is>
      </c>
      <c r="D186" s="15" t="inlineStr">
        <is>
          <t>Tuesday</t>
        </is>
      </c>
      <c r="E186" s="15" t="n">
        <v>184</v>
      </c>
      <c r="F186" s="25" t="n">
        <v>165600</v>
      </c>
      <c r="G186" s="25" t="n">
        <v>46</v>
      </c>
      <c r="H186" s="37" t="n">
        <v>1.864</v>
      </c>
      <c r="I186" s="38">
        <f>H186*0.25</f>
        <v/>
      </c>
      <c r="J186" s="35">
        <f>J185+I186</f>
        <v/>
      </c>
      <c r="K186" s="15" t="inlineStr">
        <is>
          <t>Valid (Smart Meter)</t>
        </is>
      </c>
      <c r="L186" s="26" t="inlineStr">
        <is>
          <t>Evening living / Lighting / Heat</t>
        </is>
      </c>
    </row>
    <row r="187">
      <c r="A187" s="15" t="inlineStr">
        <is>
          <t>2025-11-11 22:15:00</t>
        </is>
      </c>
      <c r="B187" s="15" t="inlineStr">
        <is>
          <t>2025-11-11</t>
        </is>
      </c>
      <c r="C187" s="15" t="inlineStr">
        <is>
          <t>22:15</t>
        </is>
      </c>
      <c r="D187" s="15" t="inlineStr">
        <is>
          <t>Tuesday</t>
        </is>
      </c>
      <c r="E187" s="15" t="n">
        <v>185</v>
      </c>
      <c r="F187" s="25" t="n">
        <v>166500</v>
      </c>
      <c r="G187" s="25" t="n">
        <v>46.25</v>
      </c>
      <c r="H187" s="37" t="n">
        <v>1.728</v>
      </c>
      <c r="I187" s="38">
        <f>H187*0.25</f>
        <v/>
      </c>
      <c r="J187" s="35">
        <f>J186+I187</f>
        <v/>
      </c>
      <c r="K187" s="15" t="inlineStr">
        <is>
          <t>Valid (Smart Meter)</t>
        </is>
      </c>
      <c r="L187" s="26" t="inlineStr">
        <is>
          <t>Evening living / Lighting / Heat</t>
        </is>
      </c>
    </row>
    <row r="188">
      <c r="A188" s="15" t="inlineStr">
        <is>
          <t>2025-11-11 22:30:00</t>
        </is>
      </c>
      <c r="B188" s="15" t="inlineStr">
        <is>
          <t>2025-11-11</t>
        </is>
      </c>
      <c r="C188" s="15" t="inlineStr">
        <is>
          <t>22:30</t>
        </is>
      </c>
      <c r="D188" s="15" t="inlineStr">
        <is>
          <t>Tuesday</t>
        </is>
      </c>
      <c r="E188" s="15" t="n">
        <v>186</v>
      </c>
      <c r="F188" s="25" t="n">
        <v>167400</v>
      </c>
      <c r="G188" s="25" t="n">
        <v>46.5</v>
      </c>
      <c r="H188" s="37" t="n">
        <v>1.732</v>
      </c>
      <c r="I188" s="38">
        <f>H188*0.25</f>
        <v/>
      </c>
      <c r="J188" s="35">
        <f>J187+I188</f>
        <v/>
      </c>
      <c r="K188" s="15" t="inlineStr">
        <is>
          <t>Valid (Smart Meter)</t>
        </is>
      </c>
      <c r="L188" s="26" t="inlineStr">
        <is>
          <t>Evening living / Lighting / Heat</t>
        </is>
      </c>
    </row>
    <row r="189">
      <c r="A189" s="15" t="inlineStr">
        <is>
          <t>2025-11-11 22:45:00</t>
        </is>
      </c>
      <c r="B189" s="15" t="inlineStr">
        <is>
          <t>2025-11-11</t>
        </is>
      </c>
      <c r="C189" s="15" t="inlineStr">
        <is>
          <t>22:45</t>
        </is>
      </c>
      <c r="D189" s="15" t="inlineStr">
        <is>
          <t>Tuesday</t>
        </is>
      </c>
      <c r="E189" s="15" t="n">
        <v>187</v>
      </c>
      <c r="F189" s="25" t="n">
        <v>168300</v>
      </c>
      <c r="G189" s="25" t="n">
        <v>46.75</v>
      </c>
      <c r="H189" s="37" t="n">
        <v>0.666</v>
      </c>
      <c r="I189" s="38">
        <f>H189*0.25</f>
        <v/>
      </c>
      <c r="J189" s="35">
        <f>J188+I189</f>
        <v/>
      </c>
      <c r="K189" s="15" t="inlineStr">
        <is>
          <t>Valid (Smart Meter)</t>
        </is>
      </c>
      <c r="L189" s="26" t="inlineStr">
        <is>
          <t>Night baseload / Heating</t>
        </is>
      </c>
    </row>
    <row r="190">
      <c r="A190" s="12" t="inlineStr">
        <is>
          <t>2025-11-11 23:00:00</t>
        </is>
      </c>
      <c r="B190" s="12" t="inlineStr">
        <is>
          <t>2025-11-11</t>
        </is>
      </c>
      <c r="C190" s="12" t="inlineStr">
        <is>
          <t>23:00</t>
        </is>
      </c>
      <c r="D190" s="12" t="inlineStr">
        <is>
          <t>Tuesday</t>
        </is>
      </c>
      <c r="E190" s="12" t="n">
        <v>188</v>
      </c>
      <c r="F190" s="27" t="n">
        <v>169200</v>
      </c>
      <c r="G190" s="27" t="n">
        <v>47</v>
      </c>
      <c r="H190" s="39" t="n">
        <v>0.577</v>
      </c>
      <c r="I190" s="40">
        <f>H190*0.25</f>
        <v/>
      </c>
      <c r="J190" s="34">
        <f>J189+I190</f>
        <v/>
      </c>
      <c r="K190" s="12" t="inlineStr">
        <is>
          <t>Valid (Smart Meter)</t>
        </is>
      </c>
      <c r="L190" s="28" t="inlineStr">
        <is>
          <t>Night baseload / Heating</t>
        </is>
      </c>
    </row>
    <row r="191">
      <c r="A191" s="12" t="inlineStr">
        <is>
          <t>2025-11-11 23:15:00</t>
        </is>
      </c>
      <c r="B191" s="12" t="inlineStr">
        <is>
          <t>2025-11-11</t>
        </is>
      </c>
      <c r="C191" s="12" t="inlineStr">
        <is>
          <t>23:15</t>
        </is>
      </c>
      <c r="D191" s="12" t="inlineStr">
        <is>
          <t>Tuesday</t>
        </is>
      </c>
      <c r="E191" s="12" t="n">
        <v>189</v>
      </c>
      <c r="F191" s="27" t="n">
        <v>170100</v>
      </c>
      <c r="G191" s="27" t="n">
        <v>47.25</v>
      </c>
      <c r="H191" s="39" t="n">
        <v>0.569</v>
      </c>
      <c r="I191" s="40">
        <f>H191*0.25</f>
        <v/>
      </c>
      <c r="J191" s="34">
        <f>J190+I191</f>
        <v/>
      </c>
      <c r="K191" s="12" t="inlineStr">
        <is>
          <t>Valid (Smart Meter)</t>
        </is>
      </c>
      <c r="L191" s="28" t="inlineStr">
        <is>
          <t>Night baseload / Heating</t>
        </is>
      </c>
    </row>
    <row r="192">
      <c r="A192" s="12" t="inlineStr">
        <is>
          <t>2025-11-11 23:30:00</t>
        </is>
      </c>
      <c r="B192" s="12" t="inlineStr">
        <is>
          <t>2025-11-11</t>
        </is>
      </c>
      <c r="C192" s="12" t="inlineStr">
        <is>
          <t>23:30</t>
        </is>
      </c>
      <c r="D192" s="12" t="inlineStr">
        <is>
          <t>Tuesday</t>
        </is>
      </c>
      <c r="E192" s="12" t="n">
        <v>190</v>
      </c>
      <c r="F192" s="27" t="n">
        <v>171000</v>
      </c>
      <c r="G192" s="27" t="n">
        <v>47.5</v>
      </c>
      <c r="H192" s="39" t="n">
        <v>0.549</v>
      </c>
      <c r="I192" s="40">
        <f>H192*0.25</f>
        <v/>
      </c>
      <c r="J192" s="34">
        <f>J191+I192</f>
        <v/>
      </c>
      <c r="K192" s="12" t="inlineStr">
        <is>
          <t>Valid (Smart Meter)</t>
        </is>
      </c>
      <c r="L192" s="28" t="inlineStr">
        <is>
          <t>Night baseload / Heating</t>
        </is>
      </c>
    </row>
    <row r="193">
      <c r="A193" s="12" t="inlineStr">
        <is>
          <t>2025-11-11 23:45:00</t>
        </is>
      </c>
      <c r="B193" s="12" t="inlineStr">
        <is>
          <t>2025-11-11</t>
        </is>
      </c>
      <c r="C193" s="12" t="inlineStr">
        <is>
          <t>23:45</t>
        </is>
      </c>
      <c r="D193" s="12" t="inlineStr">
        <is>
          <t>Tuesday</t>
        </is>
      </c>
      <c r="E193" s="12" t="n">
        <v>191</v>
      </c>
      <c r="F193" s="27" t="n">
        <v>171900</v>
      </c>
      <c r="G193" s="27" t="n">
        <v>47.75</v>
      </c>
      <c r="H193" s="39" t="n">
        <v>0.608</v>
      </c>
      <c r="I193" s="40">
        <f>H193*0.25</f>
        <v/>
      </c>
      <c r="J193" s="34">
        <f>J192+I193</f>
        <v/>
      </c>
      <c r="K193" s="12" t="inlineStr">
        <is>
          <t>Valid (Smart Meter)</t>
        </is>
      </c>
      <c r="L193" s="28" t="inlineStr">
        <is>
          <t>Night baseload / Heating</t>
        </is>
      </c>
    </row>
    <row r="194">
      <c r="A194" s="15" t="inlineStr">
        <is>
          <t>2025-11-12 00:00:00</t>
        </is>
      </c>
      <c r="B194" s="15" t="inlineStr">
        <is>
          <t>2025-11-12</t>
        </is>
      </c>
      <c r="C194" s="15" t="inlineStr">
        <is>
          <t>00:00</t>
        </is>
      </c>
      <c r="D194" s="15" t="inlineStr">
        <is>
          <t>Wednesday</t>
        </is>
      </c>
      <c r="E194" s="15" t="n">
        <v>192</v>
      </c>
      <c r="F194" s="25" t="n">
        <v>172800</v>
      </c>
      <c r="G194" s="25" t="n">
        <v>48</v>
      </c>
      <c r="H194" s="37" t="n">
        <v>0.661</v>
      </c>
      <c r="I194" s="38">
        <f>H194*0.25</f>
        <v/>
      </c>
      <c r="J194" s="35">
        <f>J193+I194</f>
        <v/>
      </c>
      <c r="K194" s="15" t="inlineStr">
        <is>
          <t>Valid (Smart Meter)</t>
        </is>
      </c>
      <c r="L194" s="26" t="inlineStr">
        <is>
          <t>Night baseload / Heating</t>
        </is>
      </c>
    </row>
    <row r="195">
      <c r="A195" s="15" t="inlineStr">
        <is>
          <t>2025-11-12 00:15:00</t>
        </is>
      </c>
      <c r="B195" s="15" t="inlineStr">
        <is>
          <t>2025-11-12</t>
        </is>
      </c>
      <c r="C195" s="15" t="inlineStr">
        <is>
          <t>00:15</t>
        </is>
      </c>
      <c r="D195" s="15" t="inlineStr">
        <is>
          <t>Wednesday</t>
        </is>
      </c>
      <c r="E195" s="15" t="n">
        <v>193</v>
      </c>
      <c r="F195" s="25" t="n">
        <v>173700</v>
      </c>
      <c r="G195" s="25" t="n">
        <v>48.25</v>
      </c>
      <c r="H195" s="37" t="n">
        <v>0.659</v>
      </c>
      <c r="I195" s="38">
        <f>H195*0.25</f>
        <v/>
      </c>
      <c r="J195" s="35">
        <f>J194+I195</f>
        <v/>
      </c>
      <c r="K195" s="15" t="inlineStr">
        <is>
          <t>Valid (Smart Meter)</t>
        </is>
      </c>
      <c r="L195" s="26" t="inlineStr">
        <is>
          <t>Night baseload / Heating</t>
        </is>
      </c>
    </row>
    <row r="196">
      <c r="A196" s="15" t="inlineStr">
        <is>
          <t>2025-11-12 00:30:00</t>
        </is>
      </c>
      <c r="B196" s="15" t="inlineStr">
        <is>
          <t>2025-11-12</t>
        </is>
      </c>
      <c r="C196" s="15" t="inlineStr">
        <is>
          <t>00:30</t>
        </is>
      </c>
      <c r="D196" s="15" t="inlineStr">
        <is>
          <t>Wednesday</t>
        </is>
      </c>
      <c r="E196" s="15" t="n">
        <v>194</v>
      </c>
      <c r="F196" s="25" t="n">
        <v>174600</v>
      </c>
      <c r="G196" s="25" t="n">
        <v>48.5</v>
      </c>
      <c r="H196" s="37" t="n">
        <v>0.732</v>
      </c>
      <c r="I196" s="38">
        <f>H196*0.25</f>
        <v/>
      </c>
      <c r="J196" s="35">
        <f>J195+I196</f>
        <v/>
      </c>
      <c r="K196" s="15" t="inlineStr">
        <is>
          <t>Valid (Smart Meter)</t>
        </is>
      </c>
      <c r="L196" s="26" t="inlineStr">
        <is>
          <t>Night baseload / Heating</t>
        </is>
      </c>
    </row>
    <row r="197">
      <c r="A197" s="15" t="inlineStr">
        <is>
          <t>2025-11-12 00:45:00</t>
        </is>
      </c>
      <c r="B197" s="15" t="inlineStr">
        <is>
          <t>2025-11-12</t>
        </is>
      </c>
      <c r="C197" s="15" t="inlineStr">
        <is>
          <t>00:45</t>
        </is>
      </c>
      <c r="D197" s="15" t="inlineStr">
        <is>
          <t>Wednesday</t>
        </is>
      </c>
      <c r="E197" s="15" t="n">
        <v>195</v>
      </c>
      <c r="F197" s="25" t="n">
        <v>175500</v>
      </c>
      <c r="G197" s="25" t="n">
        <v>48.75</v>
      </c>
      <c r="H197" s="37" t="n">
        <v>0.738</v>
      </c>
      <c r="I197" s="38">
        <f>H197*0.25</f>
        <v/>
      </c>
      <c r="J197" s="35">
        <f>J196+I197</f>
        <v/>
      </c>
      <c r="K197" s="15" t="inlineStr">
        <is>
          <t>Valid (Smart Meter)</t>
        </is>
      </c>
      <c r="L197" s="26" t="inlineStr">
        <is>
          <t>Night baseload / Heating</t>
        </is>
      </c>
    </row>
    <row r="198">
      <c r="A198" s="12" t="inlineStr">
        <is>
          <t>2025-11-12 01:00:00</t>
        </is>
      </c>
      <c r="B198" s="12" t="inlineStr">
        <is>
          <t>2025-11-12</t>
        </is>
      </c>
      <c r="C198" s="12" t="inlineStr">
        <is>
          <t>01:00</t>
        </is>
      </c>
      <c r="D198" s="12" t="inlineStr">
        <is>
          <t>Wednesday</t>
        </is>
      </c>
      <c r="E198" s="12" t="n">
        <v>196</v>
      </c>
      <c r="F198" s="27" t="n">
        <v>176400</v>
      </c>
      <c r="G198" s="27" t="n">
        <v>49</v>
      </c>
      <c r="H198" s="39" t="n">
        <v>0.643</v>
      </c>
      <c r="I198" s="40">
        <f>H198*0.25</f>
        <v/>
      </c>
      <c r="J198" s="34">
        <f>J197+I198</f>
        <v/>
      </c>
      <c r="K198" s="12" t="inlineStr">
        <is>
          <t>Valid (Smart Meter)</t>
        </is>
      </c>
      <c r="L198" s="28" t="inlineStr">
        <is>
          <t>Night baseload / Heating</t>
        </is>
      </c>
    </row>
    <row r="199">
      <c r="A199" s="12" t="inlineStr">
        <is>
          <t>2025-11-12 01:15:00</t>
        </is>
      </c>
      <c r="B199" s="12" t="inlineStr">
        <is>
          <t>2025-11-12</t>
        </is>
      </c>
      <c r="C199" s="12" t="inlineStr">
        <is>
          <t>01:15</t>
        </is>
      </c>
      <c r="D199" s="12" t="inlineStr">
        <is>
          <t>Wednesday</t>
        </is>
      </c>
      <c r="E199" s="12" t="n">
        <v>197</v>
      </c>
      <c r="F199" s="27" t="n">
        <v>177300</v>
      </c>
      <c r="G199" s="27" t="n">
        <v>49.25</v>
      </c>
      <c r="H199" s="39" t="n">
        <v>0.787</v>
      </c>
      <c r="I199" s="40">
        <f>H199*0.25</f>
        <v/>
      </c>
      <c r="J199" s="34">
        <f>J198+I199</f>
        <v/>
      </c>
      <c r="K199" s="12" t="inlineStr">
        <is>
          <t>Valid (Smart Meter)</t>
        </is>
      </c>
      <c r="L199" s="28" t="inlineStr">
        <is>
          <t>Night baseload / Heating</t>
        </is>
      </c>
    </row>
    <row r="200">
      <c r="A200" s="12" t="inlineStr">
        <is>
          <t>2025-11-12 01:30:00</t>
        </is>
      </c>
      <c r="B200" s="12" t="inlineStr">
        <is>
          <t>2025-11-12</t>
        </is>
      </c>
      <c r="C200" s="12" t="inlineStr">
        <is>
          <t>01:30</t>
        </is>
      </c>
      <c r="D200" s="12" t="inlineStr">
        <is>
          <t>Wednesday</t>
        </is>
      </c>
      <c r="E200" s="12" t="n">
        <v>198</v>
      </c>
      <c r="F200" s="27" t="n">
        <v>178200</v>
      </c>
      <c r="G200" s="27" t="n">
        <v>49.5</v>
      </c>
      <c r="H200" s="39" t="n">
        <v>0.751</v>
      </c>
      <c r="I200" s="40">
        <f>H200*0.25</f>
        <v/>
      </c>
      <c r="J200" s="34">
        <f>J199+I200</f>
        <v/>
      </c>
      <c r="K200" s="12" t="inlineStr">
        <is>
          <t>Valid (Smart Meter)</t>
        </is>
      </c>
      <c r="L200" s="28" t="inlineStr">
        <is>
          <t>Night baseload / Heating</t>
        </is>
      </c>
    </row>
    <row r="201">
      <c r="A201" s="12" t="inlineStr">
        <is>
          <t>2025-11-12 01:45:00</t>
        </is>
      </c>
      <c r="B201" s="12" t="inlineStr">
        <is>
          <t>2025-11-12</t>
        </is>
      </c>
      <c r="C201" s="12" t="inlineStr">
        <is>
          <t>01:45</t>
        </is>
      </c>
      <c r="D201" s="12" t="inlineStr">
        <is>
          <t>Wednesday</t>
        </is>
      </c>
      <c r="E201" s="12" t="n">
        <v>199</v>
      </c>
      <c r="F201" s="27" t="n">
        <v>179100</v>
      </c>
      <c r="G201" s="27" t="n">
        <v>49.75</v>
      </c>
      <c r="H201" s="39" t="n">
        <v>0.623</v>
      </c>
      <c r="I201" s="40">
        <f>H201*0.25</f>
        <v/>
      </c>
      <c r="J201" s="34">
        <f>J200+I201</f>
        <v/>
      </c>
      <c r="K201" s="12" t="inlineStr">
        <is>
          <t>Valid (Smart Meter)</t>
        </is>
      </c>
      <c r="L201" s="28" t="inlineStr">
        <is>
          <t>Night baseload / Heating</t>
        </is>
      </c>
    </row>
    <row r="202">
      <c r="A202" s="15" t="inlineStr">
        <is>
          <t>2025-11-12 02:00:00</t>
        </is>
      </c>
      <c r="B202" s="15" t="inlineStr">
        <is>
          <t>2025-11-12</t>
        </is>
      </c>
      <c r="C202" s="15" t="inlineStr">
        <is>
          <t>02:00</t>
        </is>
      </c>
      <c r="D202" s="15" t="inlineStr">
        <is>
          <t>Wednesday</t>
        </is>
      </c>
      <c r="E202" s="15" t="n">
        <v>200</v>
      </c>
      <c r="F202" s="25" t="n">
        <v>180000</v>
      </c>
      <c r="G202" s="25" t="n">
        <v>50</v>
      </c>
      <c r="H202" s="37" t="n">
        <v>0.6929999999999999</v>
      </c>
      <c r="I202" s="38">
        <f>H202*0.25</f>
        <v/>
      </c>
      <c r="J202" s="35">
        <f>J201+I202</f>
        <v/>
      </c>
      <c r="K202" s="15" t="inlineStr">
        <is>
          <t>Valid (Smart Meter)</t>
        </is>
      </c>
      <c r="L202" s="26" t="inlineStr">
        <is>
          <t>Night baseload / Heating</t>
        </is>
      </c>
    </row>
    <row r="203">
      <c r="A203" s="15" t="inlineStr">
        <is>
          <t>2025-11-12 02:15:00</t>
        </is>
      </c>
      <c r="B203" s="15" t="inlineStr">
        <is>
          <t>2025-11-12</t>
        </is>
      </c>
      <c r="C203" s="15" t="inlineStr">
        <is>
          <t>02:15</t>
        </is>
      </c>
      <c r="D203" s="15" t="inlineStr">
        <is>
          <t>Wednesday</t>
        </is>
      </c>
      <c r="E203" s="15" t="n">
        <v>201</v>
      </c>
      <c r="F203" s="25" t="n">
        <v>180900</v>
      </c>
      <c r="G203" s="25" t="n">
        <v>50.25</v>
      </c>
      <c r="H203" s="37" t="n">
        <v>0.665</v>
      </c>
      <c r="I203" s="38">
        <f>H203*0.25</f>
        <v/>
      </c>
      <c r="J203" s="35">
        <f>J202+I203</f>
        <v/>
      </c>
      <c r="K203" s="15" t="inlineStr">
        <is>
          <t>Valid (Smart Meter)</t>
        </is>
      </c>
      <c r="L203" s="26" t="inlineStr">
        <is>
          <t>Night baseload / Heating</t>
        </is>
      </c>
    </row>
    <row r="204">
      <c r="A204" s="15" t="inlineStr">
        <is>
          <t>2025-11-12 02:30:00</t>
        </is>
      </c>
      <c r="B204" s="15" t="inlineStr">
        <is>
          <t>2025-11-12</t>
        </is>
      </c>
      <c r="C204" s="15" t="inlineStr">
        <is>
          <t>02:30</t>
        </is>
      </c>
      <c r="D204" s="15" t="inlineStr">
        <is>
          <t>Wednesday</t>
        </is>
      </c>
      <c r="E204" s="15" t="n">
        <v>202</v>
      </c>
      <c r="F204" s="25" t="n">
        <v>181800</v>
      </c>
      <c r="G204" s="25" t="n">
        <v>50.5</v>
      </c>
      <c r="H204" s="37" t="n">
        <v>0.57</v>
      </c>
      <c r="I204" s="38">
        <f>H204*0.25</f>
        <v/>
      </c>
      <c r="J204" s="35">
        <f>J203+I204</f>
        <v/>
      </c>
      <c r="K204" s="15" t="inlineStr">
        <is>
          <t>Valid (Smart Meter)</t>
        </is>
      </c>
      <c r="L204" s="26" t="inlineStr">
        <is>
          <t>Night baseload / Heating</t>
        </is>
      </c>
    </row>
    <row r="205">
      <c r="A205" s="15" t="inlineStr">
        <is>
          <t>2025-11-12 02:45:00</t>
        </is>
      </c>
      <c r="B205" s="15" t="inlineStr">
        <is>
          <t>2025-11-12</t>
        </is>
      </c>
      <c r="C205" s="15" t="inlineStr">
        <is>
          <t>02:45</t>
        </is>
      </c>
      <c r="D205" s="15" t="inlineStr">
        <is>
          <t>Wednesday</t>
        </is>
      </c>
      <c r="E205" s="15" t="n">
        <v>203</v>
      </c>
      <c r="F205" s="25" t="n">
        <v>182700</v>
      </c>
      <c r="G205" s="25" t="n">
        <v>50.75</v>
      </c>
      <c r="H205" s="37" t="n">
        <v>0.584</v>
      </c>
      <c r="I205" s="38">
        <f>H205*0.25</f>
        <v/>
      </c>
      <c r="J205" s="35">
        <f>J204+I205</f>
        <v/>
      </c>
      <c r="K205" s="15" t="inlineStr">
        <is>
          <t>Valid (Smart Meter)</t>
        </is>
      </c>
      <c r="L205" s="26" t="inlineStr">
        <is>
          <t>Night baseload / Heating</t>
        </is>
      </c>
    </row>
    <row r="206">
      <c r="A206" s="12" t="inlineStr">
        <is>
          <t>2025-11-12 03:00:00</t>
        </is>
      </c>
      <c r="B206" s="12" t="inlineStr">
        <is>
          <t>2025-11-12</t>
        </is>
      </c>
      <c r="C206" s="12" t="inlineStr">
        <is>
          <t>03:00</t>
        </is>
      </c>
      <c r="D206" s="12" t="inlineStr">
        <is>
          <t>Wednesday</t>
        </is>
      </c>
      <c r="E206" s="12" t="n">
        <v>204</v>
      </c>
      <c r="F206" s="27" t="n">
        <v>183600</v>
      </c>
      <c r="G206" s="27" t="n">
        <v>51</v>
      </c>
      <c r="H206" s="39" t="n">
        <v>0.55</v>
      </c>
      <c r="I206" s="40">
        <f>H206*0.25</f>
        <v/>
      </c>
      <c r="J206" s="34">
        <f>J205+I206</f>
        <v/>
      </c>
      <c r="K206" s="12" t="inlineStr">
        <is>
          <t>Valid (Smart Meter)</t>
        </is>
      </c>
      <c r="L206" s="28" t="inlineStr">
        <is>
          <t>Night baseload / Heating</t>
        </is>
      </c>
    </row>
    <row r="207">
      <c r="A207" s="12" t="inlineStr">
        <is>
          <t>2025-11-12 03:15:00</t>
        </is>
      </c>
      <c r="B207" s="12" t="inlineStr">
        <is>
          <t>2025-11-12</t>
        </is>
      </c>
      <c r="C207" s="12" t="inlineStr">
        <is>
          <t>03:15</t>
        </is>
      </c>
      <c r="D207" s="12" t="inlineStr">
        <is>
          <t>Wednesday</t>
        </is>
      </c>
      <c r="E207" s="12" t="n">
        <v>205</v>
      </c>
      <c r="F207" s="27" t="n">
        <v>184500</v>
      </c>
      <c r="G207" s="27" t="n">
        <v>51.25</v>
      </c>
      <c r="H207" s="39" t="n">
        <v>0.5570000000000001</v>
      </c>
      <c r="I207" s="40">
        <f>H207*0.25</f>
        <v/>
      </c>
      <c r="J207" s="34">
        <f>J206+I207</f>
        <v/>
      </c>
      <c r="K207" s="12" t="inlineStr">
        <is>
          <t>Valid (Smart Meter)</t>
        </is>
      </c>
      <c r="L207" s="28" t="inlineStr">
        <is>
          <t>Night baseload / Heating</t>
        </is>
      </c>
    </row>
    <row r="208">
      <c r="A208" s="12" t="inlineStr">
        <is>
          <t>2025-11-12 03:30:00</t>
        </is>
      </c>
      <c r="B208" s="12" t="inlineStr">
        <is>
          <t>2025-11-12</t>
        </is>
      </c>
      <c r="C208" s="12" t="inlineStr">
        <is>
          <t>03:30</t>
        </is>
      </c>
      <c r="D208" s="12" t="inlineStr">
        <is>
          <t>Wednesday</t>
        </is>
      </c>
      <c r="E208" s="12" t="n">
        <v>206</v>
      </c>
      <c r="F208" s="27" t="n">
        <v>185400</v>
      </c>
      <c r="G208" s="27" t="n">
        <v>51.5</v>
      </c>
      <c r="H208" s="39" t="n">
        <v>0.5659999999999999</v>
      </c>
      <c r="I208" s="40">
        <f>H208*0.25</f>
        <v/>
      </c>
      <c r="J208" s="34">
        <f>J207+I208</f>
        <v/>
      </c>
      <c r="K208" s="12" t="inlineStr">
        <is>
          <t>Valid (Smart Meter)</t>
        </is>
      </c>
      <c r="L208" s="28" t="inlineStr">
        <is>
          <t>Night baseload / Heating</t>
        </is>
      </c>
    </row>
    <row r="209">
      <c r="A209" s="12" t="inlineStr">
        <is>
          <t>2025-11-12 03:45:00</t>
        </is>
      </c>
      <c r="B209" s="12" t="inlineStr">
        <is>
          <t>2025-11-12</t>
        </is>
      </c>
      <c r="C209" s="12" t="inlineStr">
        <is>
          <t>03:45</t>
        </is>
      </c>
      <c r="D209" s="12" t="inlineStr">
        <is>
          <t>Wednesday</t>
        </is>
      </c>
      <c r="E209" s="12" t="n">
        <v>207</v>
      </c>
      <c r="F209" s="27" t="n">
        <v>186300</v>
      </c>
      <c r="G209" s="27" t="n">
        <v>51.75</v>
      </c>
      <c r="H209" s="39" t="n">
        <v>0.5620000000000001</v>
      </c>
      <c r="I209" s="40">
        <f>H209*0.25</f>
        <v/>
      </c>
      <c r="J209" s="34">
        <f>J208+I209</f>
        <v/>
      </c>
      <c r="K209" s="12" t="inlineStr">
        <is>
          <t>Valid (Smart Meter)</t>
        </is>
      </c>
      <c r="L209" s="28" t="inlineStr">
        <is>
          <t>Night baseload / Heating</t>
        </is>
      </c>
    </row>
    <row r="210">
      <c r="A210" s="15" t="inlineStr">
        <is>
          <t>2025-11-12 04:00:00</t>
        </is>
      </c>
      <c r="B210" s="15" t="inlineStr">
        <is>
          <t>2025-11-12</t>
        </is>
      </c>
      <c r="C210" s="15" t="inlineStr">
        <is>
          <t>04:00</t>
        </is>
      </c>
      <c r="D210" s="15" t="inlineStr">
        <is>
          <t>Wednesday</t>
        </is>
      </c>
      <c r="E210" s="15" t="n">
        <v>208</v>
      </c>
      <c r="F210" s="25" t="n">
        <v>187200</v>
      </c>
      <c r="G210" s="25" t="n">
        <v>52</v>
      </c>
      <c r="H210" s="37" t="n">
        <v>0.552</v>
      </c>
      <c r="I210" s="38">
        <f>H210*0.25</f>
        <v/>
      </c>
      <c r="J210" s="35">
        <f>J209+I210</f>
        <v/>
      </c>
      <c r="K210" s="15" t="inlineStr">
        <is>
          <t>Valid (Smart Meter)</t>
        </is>
      </c>
      <c r="L210" s="26" t="inlineStr">
        <is>
          <t>Night baseload / Heating</t>
        </is>
      </c>
    </row>
    <row r="211">
      <c r="A211" s="15" t="inlineStr">
        <is>
          <t>2025-11-12 04:15:00</t>
        </is>
      </c>
      <c r="B211" s="15" t="inlineStr">
        <is>
          <t>2025-11-12</t>
        </is>
      </c>
      <c r="C211" s="15" t="inlineStr">
        <is>
          <t>04:15</t>
        </is>
      </c>
      <c r="D211" s="15" t="inlineStr">
        <is>
          <t>Wednesday</t>
        </is>
      </c>
      <c r="E211" s="15" t="n">
        <v>209</v>
      </c>
      <c r="F211" s="25" t="n">
        <v>188100</v>
      </c>
      <c r="G211" s="25" t="n">
        <v>52.25</v>
      </c>
      <c r="H211" s="37" t="n">
        <v>0.664</v>
      </c>
      <c r="I211" s="38">
        <f>H211*0.25</f>
        <v/>
      </c>
      <c r="J211" s="35">
        <f>J210+I211</f>
        <v/>
      </c>
      <c r="K211" s="15" t="inlineStr">
        <is>
          <t>Valid (Smart Meter)</t>
        </is>
      </c>
      <c r="L211" s="26" t="inlineStr">
        <is>
          <t>Night baseload / Heating</t>
        </is>
      </c>
    </row>
    <row r="212">
      <c r="A212" s="15" t="inlineStr">
        <is>
          <t>2025-11-12 04:30:00</t>
        </is>
      </c>
      <c r="B212" s="15" t="inlineStr">
        <is>
          <t>2025-11-12</t>
        </is>
      </c>
      <c r="C212" s="15" t="inlineStr">
        <is>
          <t>04:30</t>
        </is>
      </c>
      <c r="D212" s="15" t="inlineStr">
        <is>
          <t>Wednesday</t>
        </is>
      </c>
      <c r="E212" s="15" t="n">
        <v>210</v>
      </c>
      <c r="F212" s="25" t="n">
        <v>189000</v>
      </c>
      <c r="G212" s="25" t="n">
        <v>52.5</v>
      </c>
      <c r="H212" s="37" t="n">
        <v>0.793</v>
      </c>
      <c r="I212" s="38">
        <f>H212*0.25</f>
        <v/>
      </c>
      <c r="J212" s="35">
        <f>J211+I212</f>
        <v/>
      </c>
      <c r="K212" s="15" t="inlineStr">
        <is>
          <t>Valid (Smart Meter)</t>
        </is>
      </c>
      <c r="L212" s="26" t="inlineStr">
        <is>
          <t>Night baseload / Heating</t>
        </is>
      </c>
    </row>
    <row r="213">
      <c r="A213" s="15" t="inlineStr">
        <is>
          <t>2025-11-12 04:45:00</t>
        </is>
      </c>
      <c r="B213" s="15" t="inlineStr">
        <is>
          <t>2025-11-12</t>
        </is>
      </c>
      <c r="C213" s="15" t="inlineStr">
        <is>
          <t>04:45</t>
        </is>
      </c>
      <c r="D213" s="15" t="inlineStr">
        <is>
          <t>Wednesday</t>
        </is>
      </c>
      <c r="E213" s="15" t="n">
        <v>211</v>
      </c>
      <c r="F213" s="25" t="n">
        <v>189900</v>
      </c>
      <c r="G213" s="25" t="n">
        <v>52.75</v>
      </c>
      <c r="H213" s="37" t="n">
        <v>0.681</v>
      </c>
      <c r="I213" s="38">
        <f>H213*0.25</f>
        <v/>
      </c>
      <c r="J213" s="35">
        <f>J212+I213</f>
        <v/>
      </c>
      <c r="K213" s="15" t="inlineStr">
        <is>
          <t>Valid (Smart Meter)</t>
        </is>
      </c>
      <c r="L213" s="26" t="inlineStr">
        <is>
          <t>Night baseload / Heating</t>
        </is>
      </c>
    </row>
    <row r="214">
      <c r="A214" s="12" t="inlineStr">
        <is>
          <t>2025-11-12 05:00:00</t>
        </is>
      </c>
      <c r="B214" s="12" t="inlineStr">
        <is>
          <t>2025-11-12</t>
        </is>
      </c>
      <c r="C214" s="12" t="inlineStr">
        <is>
          <t>05:00</t>
        </is>
      </c>
      <c r="D214" s="12" t="inlineStr">
        <is>
          <t>Wednesday</t>
        </is>
      </c>
      <c r="E214" s="12" t="n">
        <v>212</v>
      </c>
      <c r="F214" s="27" t="n">
        <v>190800</v>
      </c>
      <c r="G214" s="27" t="n">
        <v>53</v>
      </c>
      <c r="H214" s="39" t="n">
        <v>0.678</v>
      </c>
      <c r="I214" s="40">
        <f>H214*0.25</f>
        <v/>
      </c>
      <c r="J214" s="34">
        <f>J213+I214</f>
        <v/>
      </c>
      <c r="K214" s="12" t="inlineStr">
        <is>
          <t>Valid (Smart Meter)</t>
        </is>
      </c>
      <c r="L214" s="28" t="inlineStr">
        <is>
          <t>Night baseload / Heating</t>
        </is>
      </c>
    </row>
    <row r="215">
      <c r="A215" s="12" t="inlineStr">
        <is>
          <t>2025-11-12 05:15:00</t>
        </is>
      </c>
      <c r="B215" s="12" t="inlineStr">
        <is>
          <t>2025-11-12</t>
        </is>
      </c>
      <c r="C215" s="12" t="inlineStr">
        <is>
          <t>05:15</t>
        </is>
      </c>
      <c r="D215" s="12" t="inlineStr">
        <is>
          <t>Wednesday</t>
        </is>
      </c>
      <c r="E215" s="12" t="n">
        <v>213</v>
      </c>
      <c r="F215" s="27" t="n">
        <v>191700</v>
      </c>
      <c r="G215" s="27" t="n">
        <v>53.25</v>
      </c>
      <c r="H215" s="39" t="n">
        <v>0.6850000000000001</v>
      </c>
      <c r="I215" s="40">
        <f>H215*0.25</f>
        <v/>
      </c>
      <c r="J215" s="34">
        <f>J214+I215</f>
        <v/>
      </c>
      <c r="K215" s="12" t="inlineStr">
        <is>
          <t>Valid (Smart Meter)</t>
        </is>
      </c>
      <c r="L215" s="28" t="inlineStr">
        <is>
          <t>Night baseload / Heating</t>
        </is>
      </c>
    </row>
    <row r="216">
      <c r="A216" s="12" t="inlineStr">
        <is>
          <t>2025-11-12 05:30:00</t>
        </is>
      </c>
      <c r="B216" s="12" t="inlineStr">
        <is>
          <t>2025-11-12</t>
        </is>
      </c>
      <c r="C216" s="12" t="inlineStr">
        <is>
          <t>05:30</t>
        </is>
      </c>
      <c r="D216" s="12" t="inlineStr">
        <is>
          <t>Wednesday</t>
        </is>
      </c>
      <c r="E216" s="12" t="n">
        <v>214</v>
      </c>
      <c r="F216" s="27" t="n">
        <v>192600</v>
      </c>
      <c r="G216" s="27" t="n">
        <v>53.5</v>
      </c>
      <c r="H216" s="39" t="n">
        <v>0.64</v>
      </c>
      <c r="I216" s="40">
        <f>H216*0.25</f>
        <v/>
      </c>
      <c r="J216" s="34">
        <f>J215+I216</f>
        <v/>
      </c>
      <c r="K216" s="12" t="inlineStr">
        <is>
          <t>Valid (Smart Meter)</t>
        </is>
      </c>
      <c r="L216" s="28" t="inlineStr">
        <is>
          <t>Night baseload / Heating</t>
        </is>
      </c>
    </row>
    <row r="217">
      <c r="A217" s="12" t="inlineStr">
        <is>
          <t>2025-11-12 05:45:00</t>
        </is>
      </c>
      <c r="B217" s="12" t="inlineStr">
        <is>
          <t>2025-11-12</t>
        </is>
      </c>
      <c r="C217" s="12" t="inlineStr">
        <is>
          <t>05:45</t>
        </is>
      </c>
      <c r="D217" s="12" t="inlineStr">
        <is>
          <t>Wednesday</t>
        </is>
      </c>
      <c r="E217" s="12" t="n">
        <v>215</v>
      </c>
      <c r="F217" s="27" t="n">
        <v>193500</v>
      </c>
      <c r="G217" s="27" t="n">
        <v>53.75</v>
      </c>
      <c r="H217" s="39" t="n">
        <v>0.679</v>
      </c>
      <c r="I217" s="40">
        <f>H217*0.25</f>
        <v/>
      </c>
      <c r="J217" s="34">
        <f>J216+I217</f>
        <v/>
      </c>
      <c r="K217" s="12" t="inlineStr">
        <is>
          <t>Valid (Smart Meter)</t>
        </is>
      </c>
      <c r="L217" s="28" t="inlineStr">
        <is>
          <t>Night baseload / Heating</t>
        </is>
      </c>
    </row>
    <row r="218">
      <c r="A218" s="15" t="inlineStr">
        <is>
          <t>2025-11-12 06:00:00</t>
        </is>
      </c>
      <c r="B218" s="15" t="inlineStr">
        <is>
          <t>2025-11-12</t>
        </is>
      </c>
      <c r="C218" s="15" t="inlineStr">
        <is>
          <t>06:00</t>
        </is>
      </c>
      <c r="D218" s="15" t="inlineStr">
        <is>
          <t>Wednesday</t>
        </is>
      </c>
      <c r="E218" s="15" t="n">
        <v>216</v>
      </c>
      <c r="F218" s="25" t="n">
        <v>194400</v>
      </c>
      <c r="G218" s="25" t="n">
        <v>54</v>
      </c>
      <c r="H218" s="37" t="n">
        <v>0.656</v>
      </c>
      <c r="I218" s="38">
        <f>H218*0.25</f>
        <v/>
      </c>
      <c r="J218" s="35">
        <f>J217+I218</f>
        <v/>
      </c>
      <c r="K218" s="15" t="inlineStr">
        <is>
          <t>Valid (Smart Meter)</t>
        </is>
      </c>
      <c r="L218" s="26" t="inlineStr">
        <is>
          <t>Night baseload / Heating</t>
        </is>
      </c>
    </row>
    <row r="219">
      <c r="A219" s="15" t="inlineStr">
        <is>
          <t>2025-11-12 06:15:00</t>
        </is>
      </c>
      <c r="B219" s="15" t="inlineStr">
        <is>
          <t>2025-11-12</t>
        </is>
      </c>
      <c r="C219" s="15" t="inlineStr">
        <is>
          <t>06:15</t>
        </is>
      </c>
      <c r="D219" s="15" t="inlineStr">
        <is>
          <t>Wednesday</t>
        </is>
      </c>
      <c r="E219" s="15" t="n">
        <v>217</v>
      </c>
      <c r="F219" s="25" t="n">
        <v>195300</v>
      </c>
      <c r="G219" s="25" t="n">
        <v>54.25</v>
      </c>
      <c r="H219" s="37" t="n">
        <v>0.639</v>
      </c>
      <c r="I219" s="38">
        <f>H219*0.25</f>
        <v/>
      </c>
      <c r="J219" s="35">
        <f>J218+I219</f>
        <v/>
      </c>
      <c r="K219" s="15" t="inlineStr">
        <is>
          <t>Valid (Smart Meter)</t>
        </is>
      </c>
      <c r="L219" s="26" t="inlineStr">
        <is>
          <t>Night baseload / Heating</t>
        </is>
      </c>
    </row>
    <row r="220">
      <c r="A220" s="15" t="inlineStr">
        <is>
          <t>2025-11-12 06:30:00</t>
        </is>
      </c>
      <c r="B220" s="15" t="inlineStr">
        <is>
          <t>2025-11-12</t>
        </is>
      </c>
      <c r="C220" s="15" t="inlineStr">
        <is>
          <t>06:30</t>
        </is>
      </c>
      <c r="D220" s="15" t="inlineStr">
        <is>
          <t>Wednesday</t>
        </is>
      </c>
      <c r="E220" s="15" t="n">
        <v>218</v>
      </c>
      <c r="F220" s="25" t="n">
        <v>196200</v>
      </c>
      <c r="G220" s="25" t="n">
        <v>54.5</v>
      </c>
      <c r="H220" s="37" t="n">
        <v>1.505</v>
      </c>
      <c r="I220" s="38">
        <f>H220*0.25</f>
        <v/>
      </c>
      <c r="J220" s="35">
        <f>J219+I220</f>
        <v/>
      </c>
      <c r="K220" s="15" t="inlineStr">
        <is>
          <t>Valid (Smart Meter)</t>
        </is>
      </c>
      <c r="L220" s="26" t="inlineStr">
        <is>
          <t>Morning routine (Kettle/Toaster/Lighting)</t>
        </is>
      </c>
    </row>
    <row r="221">
      <c r="A221" s="15" t="inlineStr">
        <is>
          <t>2025-11-12 06:45:00</t>
        </is>
      </c>
      <c r="B221" s="15" t="inlineStr">
        <is>
          <t>2025-11-12</t>
        </is>
      </c>
      <c r="C221" s="15" t="inlineStr">
        <is>
          <t>06:45</t>
        </is>
      </c>
      <c r="D221" s="15" t="inlineStr">
        <is>
          <t>Wednesday</t>
        </is>
      </c>
      <c r="E221" s="15" t="n">
        <v>219</v>
      </c>
      <c r="F221" s="25" t="n">
        <v>197100</v>
      </c>
      <c r="G221" s="25" t="n">
        <v>54.75</v>
      </c>
      <c r="H221" s="37" t="n">
        <v>1.674</v>
      </c>
      <c r="I221" s="38">
        <f>H221*0.25</f>
        <v/>
      </c>
      <c r="J221" s="35">
        <f>J220+I221</f>
        <v/>
      </c>
      <c r="K221" s="15" t="inlineStr">
        <is>
          <t>Valid (Smart Meter)</t>
        </is>
      </c>
      <c r="L221" s="26" t="inlineStr">
        <is>
          <t>Morning routine (Kettle/Toaster/Lighting)</t>
        </is>
      </c>
    </row>
    <row r="222">
      <c r="A222" s="12" t="inlineStr">
        <is>
          <t>2025-11-12 07:00:00</t>
        </is>
      </c>
      <c r="B222" s="12" t="inlineStr">
        <is>
          <t>2025-11-12</t>
        </is>
      </c>
      <c r="C222" s="12" t="inlineStr">
        <is>
          <t>07:00</t>
        </is>
      </c>
      <c r="D222" s="12" t="inlineStr">
        <is>
          <t>Wednesday</t>
        </is>
      </c>
      <c r="E222" s="12" t="n">
        <v>220</v>
      </c>
      <c r="F222" s="27" t="n">
        <v>198000</v>
      </c>
      <c r="G222" s="27" t="n">
        <v>55</v>
      </c>
      <c r="H222" s="39" t="n">
        <v>3.074</v>
      </c>
      <c r="I222" s="40">
        <f>H222*0.25</f>
        <v/>
      </c>
      <c r="J222" s="34">
        <f>J221+I222</f>
        <v/>
      </c>
      <c r="K222" s="12" t="inlineStr">
        <is>
          <t>Valid (Smart Meter)</t>
        </is>
      </c>
      <c r="L222" s="28" t="inlineStr">
        <is>
          <t>Breakfast &amp; Water heater cycle</t>
        </is>
      </c>
    </row>
    <row r="223">
      <c r="A223" s="12" t="inlineStr">
        <is>
          <t>2025-11-12 07:15:00</t>
        </is>
      </c>
      <c r="B223" s="12" t="inlineStr">
        <is>
          <t>2025-11-12</t>
        </is>
      </c>
      <c r="C223" s="12" t="inlineStr">
        <is>
          <t>07:15</t>
        </is>
      </c>
      <c r="D223" s="12" t="inlineStr">
        <is>
          <t>Wednesday</t>
        </is>
      </c>
      <c r="E223" s="12" t="n">
        <v>221</v>
      </c>
      <c r="F223" s="27" t="n">
        <v>198900</v>
      </c>
      <c r="G223" s="27" t="n">
        <v>55.25</v>
      </c>
      <c r="H223" s="39" t="n">
        <v>3.15</v>
      </c>
      <c r="I223" s="40">
        <f>H223*0.25</f>
        <v/>
      </c>
      <c r="J223" s="34">
        <f>J222+I223</f>
        <v/>
      </c>
      <c r="K223" s="12" t="inlineStr">
        <is>
          <t>Valid (Smart Meter)</t>
        </is>
      </c>
      <c r="L223" s="28" t="inlineStr">
        <is>
          <t>Breakfast &amp; Water heater cycle</t>
        </is>
      </c>
    </row>
    <row r="224">
      <c r="A224" s="12" t="inlineStr">
        <is>
          <t>2025-11-12 07:30:00</t>
        </is>
      </c>
      <c r="B224" s="12" t="inlineStr">
        <is>
          <t>2025-11-12</t>
        </is>
      </c>
      <c r="C224" s="12" t="inlineStr">
        <is>
          <t>07:30</t>
        </is>
      </c>
      <c r="D224" s="12" t="inlineStr">
        <is>
          <t>Wednesday</t>
        </is>
      </c>
      <c r="E224" s="12" t="n">
        <v>222</v>
      </c>
      <c r="F224" s="27" t="n">
        <v>199800</v>
      </c>
      <c r="G224" s="27" t="n">
        <v>55.5</v>
      </c>
      <c r="H224" s="39" t="n">
        <v>3.057</v>
      </c>
      <c r="I224" s="40">
        <f>H224*0.25</f>
        <v/>
      </c>
      <c r="J224" s="34">
        <f>J223+I224</f>
        <v/>
      </c>
      <c r="K224" s="12" t="inlineStr">
        <is>
          <t>Valid (Smart Meter)</t>
        </is>
      </c>
      <c r="L224" s="28" t="inlineStr">
        <is>
          <t>Breakfast &amp; Water heater cycle</t>
        </is>
      </c>
    </row>
    <row r="225">
      <c r="A225" s="12" t="inlineStr">
        <is>
          <t>2025-11-12 07:45:00</t>
        </is>
      </c>
      <c r="B225" s="12" t="inlineStr">
        <is>
          <t>2025-11-12</t>
        </is>
      </c>
      <c r="C225" s="12" t="inlineStr">
        <is>
          <t>07:45</t>
        </is>
      </c>
      <c r="D225" s="12" t="inlineStr">
        <is>
          <t>Wednesday</t>
        </is>
      </c>
      <c r="E225" s="12" t="n">
        <v>223</v>
      </c>
      <c r="F225" s="27" t="n">
        <v>200700</v>
      </c>
      <c r="G225" s="27" t="n">
        <v>55.75</v>
      </c>
      <c r="H225" s="39" t="n">
        <v>1.358</v>
      </c>
      <c r="I225" s="40">
        <f>H225*0.25</f>
        <v/>
      </c>
      <c r="J225" s="34">
        <f>J224+I225</f>
        <v/>
      </c>
      <c r="K225" s="12" t="inlineStr">
        <is>
          <t>Valid (Smart Meter)</t>
        </is>
      </c>
      <c r="L225" s="28" t="inlineStr">
        <is>
          <t>Morning routine (Kettle/Toaster/Lighting)</t>
        </is>
      </c>
    </row>
    <row r="226">
      <c r="A226" s="15" t="inlineStr">
        <is>
          <t>2025-11-12 08:00:00</t>
        </is>
      </c>
      <c r="B226" s="15" t="inlineStr">
        <is>
          <t>2025-11-12</t>
        </is>
      </c>
      <c r="C226" s="15" t="inlineStr">
        <is>
          <t>08:00</t>
        </is>
      </c>
      <c r="D226" s="15" t="inlineStr">
        <is>
          <t>Wednesday</t>
        </is>
      </c>
      <c r="E226" s="15" t="n">
        <v>224</v>
      </c>
      <c r="F226" s="25" t="n">
        <v>201600</v>
      </c>
      <c r="G226" s="25" t="n">
        <v>56</v>
      </c>
      <c r="H226" s="37" t="n">
        <v>1.405</v>
      </c>
      <c r="I226" s="38">
        <f>H226*0.25</f>
        <v/>
      </c>
      <c r="J226" s="35">
        <f>J225+I226</f>
        <v/>
      </c>
      <c r="K226" s="15" t="inlineStr">
        <is>
          <t>Valid (Smart Meter)</t>
        </is>
      </c>
      <c r="L226" s="26" t="inlineStr">
        <is>
          <t>Morning routine (Kettle/Toaster/Lighting)</t>
        </is>
      </c>
    </row>
    <row r="227">
      <c r="A227" s="15" t="inlineStr">
        <is>
          <t>2025-11-12 08:15:00</t>
        </is>
      </c>
      <c r="B227" s="15" t="inlineStr">
        <is>
          <t>2025-11-12</t>
        </is>
      </c>
      <c r="C227" s="15" t="inlineStr">
        <is>
          <t>08:15</t>
        </is>
      </c>
      <c r="D227" s="15" t="inlineStr">
        <is>
          <t>Wednesday</t>
        </is>
      </c>
      <c r="E227" s="15" t="n">
        <v>225</v>
      </c>
      <c r="F227" s="25" t="n">
        <v>202500</v>
      </c>
      <c r="G227" s="25" t="n">
        <v>56.25</v>
      </c>
      <c r="H227" s="37" t="n">
        <v>1.244</v>
      </c>
      <c r="I227" s="38">
        <f>H227*0.25</f>
        <v/>
      </c>
      <c r="J227" s="35">
        <f>J226+I227</f>
        <v/>
      </c>
      <c r="K227" s="15" t="inlineStr">
        <is>
          <t>Valid (Smart Meter)</t>
        </is>
      </c>
      <c r="L227" s="26" t="inlineStr">
        <is>
          <t>Morning routine (Kettle/Toaster/Lighting)</t>
        </is>
      </c>
    </row>
    <row r="228">
      <c r="A228" s="15" t="inlineStr">
        <is>
          <t>2025-11-12 08:30:00</t>
        </is>
      </c>
      <c r="B228" s="15" t="inlineStr">
        <is>
          <t>2025-11-12</t>
        </is>
      </c>
      <c r="C228" s="15" t="inlineStr">
        <is>
          <t>08:30</t>
        </is>
      </c>
      <c r="D228" s="15" t="inlineStr">
        <is>
          <t>Wednesday</t>
        </is>
      </c>
      <c r="E228" s="15" t="n">
        <v>226</v>
      </c>
      <c r="F228" s="25" t="n">
        <v>203400</v>
      </c>
      <c r="G228" s="25" t="n">
        <v>56.5</v>
      </c>
      <c r="H228" s="37" t="n">
        <v>1.308</v>
      </c>
      <c r="I228" s="38">
        <f>H228*0.25</f>
        <v/>
      </c>
      <c r="J228" s="35">
        <f>J227+I228</f>
        <v/>
      </c>
      <c r="K228" s="15" t="inlineStr">
        <is>
          <t>Valid (Smart Meter)</t>
        </is>
      </c>
      <c r="L228" s="26" t="inlineStr">
        <is>
          <t>Morning routine (Kettle/Toaster/Lighting)</t>
        </is>
      </c>
    </row>
    <row r="229">
      <c r="A229" s="15" t="inlineStr">
        <is>
          <t>2025-11-12 08:45:00</t>
        </is>
      </c>
      <c r="B229" s="15" t="inlineStr">
        <is>
          <t>2025-11-12</t>
        </is>
      </c>
      <c r="C229" s="15" t="inlineStr">
        <is>
          <t>08:45</t>
        </is>
      </c>
      <c r="D229" s="15" t="inlineStr">
        <is>
          <t>Wednesday</t>
        </is>
      </c>
      <c r="E229" s="15" t="n">
        <v>227</v>
      </c>
      <c r="F229" s="25" t="n">
        <v>204300</v>
      </c>
      <c r="G229" s="25" t="n">
        <v>56.75</v>
      </c>
      <c r="H229" s="37" t="n">
        <v>0.612</v>
      </c>
      <c r="I229" s="38">
        <f>H229*0.25</f>
        <v/>
      </c>
      <c r="J229" s="35">
        <f>J228+I229</f>
        <v/>
      </c>
      <c r="K229" s="15" t="inlineStr">
        <is>
          <t>Valid (Smart Meter)</t>
        </is>
      </c>
      <c r="L229" s="26" t="inlineStr">
        <is>
          <t>Daytime low activity / Home office</t>
        </is>
      </c>
    </row>
    <row r="230">
      <c r="A230" s="12" t="inlineStr">
        <is>
          <t>2025-11-12 09:00:00</t>
        </is>
      </c>
      <c r="B230" s="12" t="inlineStr">
        <is>
          <t>2025-11-12</t>
        </is>
      </c>
      <c r="C230" s="12" t="inlineStr">
        <is>
          <t>09:00</t>
        </is>
      </c>
      <c r="D230" s="12" t="inlineStr">
        <is>
          <t>Wednesday</t>
        </is>
      </c>
      <c r="E230" s="12" t="n">
        <v>228</v>
      </c>
      <c r="F230" s="27" t="n">
        <v>205200</v>
      </c>
      <c r="G230" s="27" t="n">
        <v>57</v>
      </c>
      <c r="H230" s="39" t="n">
        <v>0.609</v>
      </c>
      <c r="I230" s="40">
        <f>H230*0.25</f>
        <v/>
      </c>
      <c r="J230" s="34">
        <f>J229+I230</f>
        <v/>
      </c>
      <c r="K230" s="12" t="inlineStr">
        <is>
          <t>Valid (Smart Meter)</t>
        </is>
      </c>
      <c r="L230" s="28" t="inlineStr">
        <is>
          <t>Daytime low activity / Home office</t>
        </is>
      </c>
    </row>
    <row r="231">
      <c r="A231" s="12" t="inlineStr">
        <is>
          <t>2025-11-12 09:15:00</t>
        </is>
      </c>
      <c r="B231" s="12" t="inlineStr">
        <is>
          <t>2025-11-12</t>
        </is>
      </c>
      <c r="C231" s="12" t="inlineStr">
        <is>
          <t>09:15</t>
        </is>
      </c>
      <c r="D231" s="12" t="inlineStr">
        <is>
          <t>Wednesday</t>
        </is>
      </c>
      <c r="E231" s="12" t="n">
        <v>229</v>
      </c>
      <c r="F231" s="27" t="n">
        <v>206100</v>
      </c>
      <c r="G231" s="27" t="n">
        <v>57.25</v>
      </c>
      <c r="H231" s="39" t="n">
        <v>0.627</v>
      </c>
      <c r="I231" s="40">
        <f>H231*0.25</f>
        <v/>
      </c>
      <c r="J231" s="34">
        <f>J230+I231</f>
        <v/>
      </c>
      <c r="K231" s="12" t="inlineStr">
        <is>
          <t>Valid (Smart Meter)</t>
        </is>
      </c>
      <c r="L231" s="28" t="inlineStr">
        <is>
          <t>Daytime low activity / Home office</t>
        </is>
      </c>
    </row>
    <row r="232">
      <c r="A232" s="12" t="inlineStr">
        <is>
          <t>2025-11-12 09:30:00</t>
        </is>
      </c>
      <c r="B232" s="12" t="inlineStr">
        <is>
          <t>2025-11-12</t>
        </is>
      </c>
      <c r="C232" s="12" t="inlineStr">
        <is>
          <t>09:30</t>
        </is>
      </c>
      <c r="D232" s="12" t="inlineStr">
        <is>
          <t>Wednesday</t>
        </is>
      </c>
      <c r="E232" s="12" t="n">
        <v>230</v>
      </c>
      <c r="F232" s="27" t="n">
        <v>207000</v>
      </c>
      <c r="G232" s="27" t="n">
        <v>57.5</v>
      </c>
      <c r="H232" s="39" t="n">
        <v>0.62</v>
      </c>
      <c r="I232" s="40">
        <f>H232*0.25</f>
        <v/>
      </c>
      <c r="J232" s="34">
        <f>J231+I232</f>
        <v/>
      </c>
      <c r="K232" s="12" t="inlineStr">
        <is>
          <t>Valid (Smart Meter)</t>
        </is>
      </c>
      <c r="L232" s="28" t="inlineStr">
        <is>
          <t>Daytime low activity / Home office</t>
        </is>
      </c>
    </row>
    <row r="233">
      <c r="A233" s="12" t="inlineStr">
        <is>
          <t>2025-11-12 09:45:00</t>
        </is>
      </c>
      <c r="B233" s="12" t="inlineStr">
        <is>
          <t>2025-11-12</t>
        </is>
      </c>
      <c r="C233" s="12" t="inlineStr">
        <is>
          <t>09:45</t>
        </is>
      </c>
      <c r="D233" s="12" t="inlineStr">
        <is>
          <t>Wednesday</t>
        </is>
      </c>
      <c r="E233" s="12" t="n">
        <v>231</v>
      </c>
      <c r="F233" s="27" t="n">
        <v>207900</v>
      </c>
      <c r="G233" s="27" t="n">
        <v>57.75</v>
      </c>
      <c r="H233" s="39" t="n">
        <v>0.617</v>
      </c>
      <c r="I233" s="40">
        <f>H233*0.25</f>
        <v/>
      </c>
      <c r="J233" s="34">
        <f>J232+I233</f>
        <v/>
      </c>
      <c r="K233" s="12" t="inlineStr">
        <is>
          <t>Valid (Smart Meter)</t>
        </is>
      </c>
      <c r="L233" s="28" t="inlineStr">
        <is>
          <t>Daytime low activity / Home office</t>
        </is>
      </c>
    </row>
    <row r="234">
      <c r="A234" s="15" t="inlineStr">
        <is>
          <t>2025-11-12 10:00:00</t>
        </is>
      </c>
      <c r="B234" s="15" t="inlineStr">
        <is>
          <t>2025-11-12</t>
        </is>
      </c>
      <c r="C234" s="15" t="inlineStr">
        <is>
          <t>10:00</t>
        </is>
      </c>
      <c r="D234" s="15" t="inlineStr">
        <is>
          <t>Wednesday</t>
        </is>
      </c>
      <c r="E234" s="15" t="n">
        <v>232</v>
      </c>
      <c r="F234" s="25" t="n">
        <v>208800</v>
      </c>
      <c r="G234" s="25" t="n">
        <v>58</v>
      </c>
      <c r="H234" s="37" t="n">
        <v>0.636</v>
      </c>
      <c r="I234" s="38">
        <f>H234*0.25</f>
        <v/>
      </c>
      <c r="J234" s="35">
        <f>J233+I234</f>
        <v/>
      </c>
      <c r="K234" s="15" t="inlineStr">
        <is>
          <t>Valid (Smart Meter)</t>
        </is>
      </c>
      <c r="L234" s="26" t="inlineStr">
        <is>
          <t>Daytime low activity / Home office</t>
        </is>
      </c>
    </row>
    <row r="235">
      <c r="A235" s="15" t="inlineStr">
        <is>
          <t>2025-11-12 10:15:00</t>
        </is>
      </c>
      <c r="B235" s="15" t="inlineStr">
        <is>
          <t>2025-11-12</t>
        </is>
      </c>
      <c r="C235" s="15" t="inlineStr">
        <is>
          <t>10:15</t>
        </is>
      </c>
      <c r="D235" s="15" t="inlineStr">
        <is>
          <t>Wednesday</t>
        </is>
      </c>
      <c r="E235" s="15" t="n">
        <v>233</v>
      </c>
      <c r="F235" s="25" t="n">
        <v>209700</v>
      </c>
      <c r="G235" s="25" t="n">
        <v>58.25</v>
      </c>
      <c r="H235" s="37" t="n">
        <v>0.599</v>
      </c>
      <c r="I235" s="38">
        <f>H235*0.25</f>
        <v/>
      </c>
      <c r="J235" s="35">
        <f>J234+I235</f>
        <v/>
      </c>
      <c r="K235" s="15" t="inlineStr">
        <is>
          <t>Valid (Smart Meter)</t>
        </is>
      </c>
      <c r="L235" s="26" t="inlineStr">
        <is>
          <t>Daytime low activity / Home office</t>
        </is>
      </c>
    </row>
    <row r="236">
      <c r="A236" s="15" t="inlineStr">
        <is>
          <t>2025-11-12 10:30:00</t>
        </is>
      </c>
      <c r="B236" s="15" t="inlineStr">
        <is>
          <t>2025-11-12</t>
        </is>
      </c>
      <c r="C236" s="15" t="inlineStr">
        <is>
          <t>10:30</t>
        </is>
      </c>
      <c r="D236" s="15" t="inlineStr">
        <is>
          <t>Wednesday</t>
        </is>
      </c>
      <c r="E236" s="15" t="n">
        <v>234</v>
      </c>
      <c r="F236" s="25" t="n">
        <v>210600</v>
      </c>
      <c r="G236" s="25" t="n">
        <v>58.5</v>
      </c>
      <c r="H236" s="37" t="n">
        <v>0.589</v>
      </c>
      <c r="I236" s="38">
        <f>H236*0.25</f>
        <v/>
      </c>
      <c r="J236" s="35">
        <f>J235+I236</f>
        <v/>
      </c>
      <c r="K236" s="15" t="inlineStr">
        <is>
          <t>Valid (Smart Meter)</t>
        </is>
      </c>
      <c r="L236" s="26" t="inlineStr">
        <is>
          <t>Daytime low activity / Home office</t>
        </is>
      </c>
    </row>
    <row r="237">
      <c r="A237" s="15" t="inlineStr">
        <is>
          <t>2025-11-12 10:45:00</t>
        </is>
      </c>
      <c r="B237" s="15" t="inlineStr">
        <is>
          <t>2025-11-12</t>
        </is>
      </c>
      <c r="C237" s="15" t="inlineStr">
        <is>
          <t>10:45</t>
        </is>
      </c>
      <c r="D237" s="15" t="inlineStr">
        <is>
          <t>Wednesday</t>
        </is>
      </c>
      <c r="E237" s="15" t="n">
        <v>235</v>
      </c>
      <c r="F237" s="25" t="n">
        <v>211500</v>
      </c>
      <c r="G237" s="25" t="n">
        <v>58.75</v>
      </c>
      <c r="H237" s="37" t="n">
        <v>0.585</v>
      </c>
      <c r="I237" s="38">
        <f>H237*0.25</f>
        <v/>
      </c>
      <c r="J237" s="35">
        <f>J236+I237</f>
        <v/>
      </c>
      <c r="K237" s="15" t="inlineStr">
        <is>
          <t>Valid (Smart Meter)</t>
        </is>
      </c>
      <c r="L237" s="26" t="inlineStr">
        <is>
          <t>Daytime low activity / Home office</t>
        </is>
      </c>
    </row>
    <row r="238">
      <c r="A238" s="12" t="inlineStr">
        <is>
          <t>2025-11-12 11:00:00</t>
        </is>
      </c>
      <c r="B238" s="12" t="inlineStr">
        <is>
          <t>2025-11-12</t>
        </is>
      </c>
      <c r="C238" s="12" t="inlineStr">
        <is>
          <t>11:00</t>
        </is>
      </c>
      <c r="D238" s="12" t="inlineStr">
        <is>
          <t>Wednesday</t>
        </is>
      </c>
      <c r="E238" s="12" t="n">
        <v>236</v>
      </c>
      <c r="F238" s="27" t="n">
        <v>212400</v>
      </c>
      <c r="G238" s="27" t="n">
        <v>59</v>
      </c>
      <c r="H238" s="39" t="n">
        <v>0.522</v>
      </c>
      <c r="I238" s="40">
        <f>H238*0.25</f>
        <v/>
      </c>
      <c r="J238" s="34">
        <f>J237+I238</f>
        <v/>
      </c>
      <c r="K238" s="12" t="inlineStr">
        <is>
          <t>Valid (Smart Meter)</t>
        </is>
      </c>
      <c r="L238" s="28" t="inlineStr">
        <is>
          <t>Daytime low activity / Home office</t>
        </is>
      </c>
    </row>
    <row r="239">
      <c r="A239" s="12" t="inlineStr">
        <is>
          <t>2025-11-12 11:15:00</t>
        </is>
      </c>
      <c r="B239" s="12" t="inlineStr">
        <is>
          <t>2025-11-12</t>
        </is>
      </c>
      <c r="C239" s="12" t="inlineStr">
        <is>
          <t>11:15</t>
        </is>
      </c>
      <c r="D239" s="12" t="inlineStr">
        <is>
          <t>Wednesday</t>
        </is>
      </c>
      <c r="E239" s="12" t="n">
        <v>237</v>
      </c>
      <c r="F239" s="27" t="n">
        <v>213300</v>
      </c>
      <c r="G239" s="27" t="n">
        <v>59.25</v>
      </c>
      <c r="H239" s="39" t="n">
        <v>0.648</v>
      </c>
      <c r="I239" s="40">
        <f>H239*0.25</f>
        <v/>
      </c>
      <c r="J239" s="34">
        <f>J238+I239</f>
        <v/>
      </c>
      <c r="K239" s="12" t="inlineStr">
        <is>
          <t>Valid (Smart Meter)</t>
        </is>
      </c>
      <c r="L239" s="28" t="inlineStr">
        <is>
          <t>Daytime low activity / Home office</t>
        </is>
      </c>
    </row>
    <row r="240">
      <c r="A240" s="12" t="inlineStr">
        <is>
          <t>2025-11-12 11:30:00</t>
        </is>
      </c>
      <c r="B240" s="12" t="inlineStr">
        <is>
          <t>2025-11-12</t>
        </is>
      </c>
      <c r="C240" s="12" t="inlineStr">
        <is>
          <t>11:30</t>
        </is>
      </c>
      <c r="D240" s="12" t="inlineStr">
        <is>
          <t>Wednesday</t>
        </is>
      </c>
      <c r="E240" s="12" t="n">
        <v>238</v>
      </c>
      <c r="F240" s="27" t="n">
        <v>214200</v>
      </c>
      <c r="G240" s="27" t="n">
        <v>59.5</v>
      </c>
      <c r="H240" s="39" t="n">
        <v>0.668</v>
      </c>
      <c r="I240" s="40">
        <f>H240*0.25</f>
        <v/>
      </c>
      <c r="J240" s="34">
        <f>J239+I240</f>
        <v/>
      </c>
      <c r="K240" s="12" t="inlineStr">
        <is>
          <t>Valid (Smart Meter)</t>
        </is>
      </c>
      <c r="L240" s="28" t="inlineStr">
        <is>
          <t>Daytime low activity / Home office</t>
        </is>
      </c>
    </row>
    <row r="241">
      <c r="A241" s="12" t="inlineStr">
        <is>
          <t>2025-11-12 11:45:00</t>
        </is>
      </c>
      <c r="B241" s="12" t="inlineStr">
        <is>
          <t>2025-11-12</t>
        </is>
      </c>
      <c r="C241" s="12" t="inlineStr">
        <is>
          <t>11:45</t>
        </is>
      </c>
      <c r="D241" s="12" t="inlineStr">
        <is>
          <t>Wednesday</t>
        </is>
      </c>
      <c r="E241" s="12" t="n">
        <v>239</v>
      </c>
      <c r="F241" s="27" t="n">
        <v>215100</v>
      </c>
      <c r="G241" s="27" t="n">
        <v>59.75</v>
      </c>
      <c r="H241" s="39" t="n">
        <v>0.5679999999999999</v>
      </c>
      <c r="I241" s="40">
        <f>H241*0.25</f>
        <v/>
      </c>
      <c r="J241" s="34">
        <f>J240+I241</f>
        <v/>
      </c>
      <c r="K241" s="12" t="inlineStr">
        <is>
          <t>Valid (Smart Meter)</t>
        </is>
      </c>
      <c r="L241" s="28" t="inlineStr">
        <is>
          <t>Daytime low activity / Home office</t>
        </is>
      </c>
    </row>
    <row r="242">
      <c r="A242" s="15" t="inlineStr">
        <is>
          <t>2025-11-12 12:00:00</t>
        </is>
      </c>
      <c r="B242" s="15" t="inlineStr">
        <is>
          <t>2025-11-12</t>
        </is>
      </c>
      <c r="C242" s="15" t="inlineStr">
        <is>
          <t>12:00</t>
        </is>
      </c>
      <c r="D242" s="15" t="inlineStr">
        <is>
          <t>Wednesday</t>
        </is>
      </c>
      <c r="E242" s="15" t="n">
        <v>240</v>
      </c>
      <c r="F242" s="25" t="n">
        <v>216000</v>
      </c>
      <c r="G242" s="25" t="n">
        <v>60</v>
      </c>
      <c r="H242" s="37" t="n">
        <v>1.745</v>
      </c>
      <c r="I242" s="38">
        <f>H242*0.25</f>
        <v/>
      </c>
      <c r="J242" s="35">
        <f>J241+I242</f>
        <v/>
      </c>
      <c r="K242" s="15" t="inlineStr">
        <is>
          <t>Valid (Smart Meter)</t>
        </is>
      </c>
      <c r="L242" s="26" t="inlineStr">
        <is>
          <t>Lunch microwave / cooking</t>
        </is>
      </c>
    </row>
    <row r="243">
      <c r="A243" s="15" t="inlineStr">
        <is>
          <t>2025-11-12 12:15:00</t>
        </is>
      </c>
      <c r="B243" s="15" t="inlineStr">
        <is>
          <t>2025-11-12</t>
        </is>
      </c>
      <c r="C243" s="15" t="inlineStr">
        <is>
          <t>12:15</t>
        </is>
      </c>
      <c r="D243" s="15" t="inlineStr">
        <is>
          <t>Wednesday</t>
        </is>
      </c>
      <c r="E243" s="15" t="n">
        <v>241</v>
      </c>
      <c r="F243" s="25" t="n">
        <v>216900</v>
      </c>
      <c r="G243" s="25" t="n">
        <v>60.25</v>
      </c>
      <c r="H243" s="37" t="n">
        <v>1.684</v>
      </c>
      <c r="I243" s="38">
        <f>H243*0.25</f>
        <v/>
      </c>
      <c r="J243" s="35">
        <f>J242+I243</f>
        <v/>
      </c>
      <c r="K243" s="15" t="inlineStr">
        <is>
          <t>Valid (Smart Meter)</t>
        </is>
      </c>
      <c r="L243" s="26" t="inlineStr">
        <is>
          <t>Lunch microwave / cooking</t>
        </is>
      </c>
    </row>
    <row r="244">
      <c r="A244" s="15" t="inlineStr">
        <is>
          <t>2025-11-12 12:30:00</t>
        </is>
      </c>
      <c r="B244" s="15" t="inlineStr">
        <is>
          <t>2025-11-12</t>
        </is>
      </c>
      <c r="C244" s="15" t="inlineStr">
        <is>
          <t>12:30</t>
        </is>
      </c>
      <c r="D244" s="15" t="inlineStr">
        <is>
          <t>Wednesday</t>
        </is>
      </c>
      <c r="E244" s="15" t="n">
        <v>242</v>
      </c>
      <c r="F244" s="25" t="n">
        <v>217800</v>
      </c>
      <c r="G244" s="25" t="n">
        <v>60.5</v>
      </c>
      <c r="H244" s="37" t="n">
        <v>1.651</v>
      </c>
      <c r="I244" s="38">
        <f>H244*0.25</f>
        <v/>
      </c>
      <c r="J244" s="35">
        <f>J243+I244</f>
        <v/>
      </c>
      <c r="K244" s="15" t="inlineStr">
        <is>
          <t>Valid (Smart Meter)</t>
        </is>
      </c>
      <c r="L244" s="26" t="inlineStr">
        <is>
          <t>Lunch microwave / cooking</t>
        </is>
      </c>
    </row>
    <row r="245">
      <c r="A245" s="15" t="inlineStr">
        <is>
          <t>2025-11-12 12:45:00</t>
        </is>
      </c>
      <c r="B245" s="15" t="inlineStr">
        <is>
          <t>2025-11-12</t>
        </is>
      </c>
      <c r="C245" s="15" t="inlineStr">
        <is>
          <t>12:45</t>
        </is>
      </c>
      <c r="D245" s="15" t="inlineStr">
        <is>
          <t>Wednesday</t>
        </is>
      </c>
      <c r="E245" s="15" t="n">
        <v>243</v>
      </c>
      <c r="F245" s="25" t="n">
        <v>218700</v>
      </c>
      <c r="G245" s="25" t="n">
        <v>60.75</v>
      </c>
      <c r="H245" s="37" t="n">
        <v>1.573</v>
      </c>
      <c r="I245" s="38">
        <f>H245*0.25</f>
        <v/>
      </c>
      <c r="J245" s="35">
        <f>J244+I245</f>
        <v/>
      </c>
      <c r="K245" s="15" t="inlineStr">
        <is>
          <t>Valid (Smart Meter)</t>
        </is>
      </c>
      <c r="L245" s="26" t="inlineStr">
        <is>
          <t>Lunch microwave / cooking</t>
        </is>
      </c>
    </row>
    <row r="246">
      <c r="A246" s="12" t="inlineStr">
        <is>
          <t>2025-11-12 13:00:00</t>
        </is>
      </c>
      <c r="B246" s="12" t="inlineStr">
        <is>
          <t>2025-11-12</t>
        </is>
      </c>
      <c r="C246" s="12" t="inlineStr">
        <is>
          <t>13:00</t>
        </is>
      </c>
      <c r="D246" s="12" t="inlineStr">
        <is>
          <t>Wednesday</t>
        </is>
      </c>
      <c r="E246" s="12" t="n">
        <v>244</v>
      </c>
      <c r="F246" s="27" t="n">
        <v>219600</v>
      </c>
      <c r="G246" s="27" t="n">
        <v>61</v>
      </c>
      <c r="H246" s="39" t="n">
        <v>0.5629999999999999</v>
      </c>
      <c r="I246" s="40">
        <f>H246*0.25</f>
        <v/>
      </c>
      <c r="J246" s="34">
        <f>J245+I246</f>
        <v/>
      </c>
      <c r="K246" s="12" t="inlineStr">
        <is>
          <t>Valid (Smart Meter)</t>
        </is>
      </c>
      <c r="L246" s="28" t="inlineStr">
        <is>
          <t>Daytime low activity / Home office</t>
        </is>
      </c>
    </row>
    <row r="247">
      <c r="A247" s="12" t="inlineStr">
        <is>
          <t>2025-11-12 13:15:00</t>
        </is>
      </c>
      <c r="B247" s="12" t="inlineStr">
        <is>
          <t>2025-11-12</t>
        </is>
      </c>
      <c r="C247" s="12" t="inlineStr">
        <is>
          <t>13:15</t>
        </is>
      </c>
      <c r="D247" s="12" t="inlineStr">
        <is>
          <t>Wednesday</t>
        </is>
      </c>
      <c r="E247" s="12" t="n">
        <v>245</v>
      </c>
      <c r="F247" s="27" t="n">
        <v>220500</v>
      </c>
      <c r="G247" s="27" t="n">
        <v>61.25</v>
      </c>
      <c r="H247" s="39" t="n">
        <v>0.489</v>
      </c>
      <c r="I247" s="40">
        <f>H247*0.25</f>
        <v/>
      </c>
      <c r="J247" s="34">
        <f>J246+I247</f>
        <v/>
      </c>
      <c r="K247" s="12" t="inlineStr">
        <is>
          <t>Valid (Smart Meter)</t>
        </is>
      </c>
      <c r="L247" s="28" t="inlineStr">
        <is>
          <t>Daytime low activity / Home office</t>
        </is>
      </c>
    </row>
    <row r="248">
      <c r="A248" s="12" t="inlineStr">
        <is>
          <t>2025-11-12 13:30:00</t>
        </is>
      </c>
      <c r="B248" s="12" t="inlineStr">
        <is>
          <t>2025-11-12</t>
        </is>
      </c>
      <c r="C248" s="12" t="inlineStr">
        <is>
          <t>13:30</t>
        </is>
      </c>
      <c r="D248" s="12" t="inlineStr">
        <is>
          <t>Wednesday</t>
        </is>
      </c>
      <c r="E248" s="12" t="n">
        <v>246</v>
      </c>
      <c r="F248" s="27" t="n">
        <v>221400</v>
      </c>
      <c r="G248" s="27" t="n">
        <v>61.5</v>
      </c>
      <c r="H248" s="39" t="n">
        <v>0.5679999999999999</v>
      </c>
      <c r="I248" s="40">
        <f>H248*0.25</f>
        <v/>
      </c>
      <c r="J248" s="34">
        <f>J247+I248</f>
        <v/>
      </c>
      <c r="K248" s="12" t="inlineStr">
        <is>
          <t>Valid (Smart Meter)</t>
        </is>
      </c>
      <c r="L248" s="28" t="inlineStr">
        <is>
          <t>Daytime low activity / Home office</t>
        </is>
      </c>
    </row>
    <row r="249">
      <c r="A249" s="12" t="inlineStr">
        <is>
          <t>2025-11-12 13:45:00</t>
        </is>
      </c>
      <c r="B249" s="12" t="inlineStr">
        <is>
          <t>2025-11-12</t>
        </is>
      </c>
      <c r="C249" s="12" t="inlineStr">
        <is>
          <t>13:45</t>
        </is>
      </c>
      <c r="D249" s="12" t="inlineStr">
        <is>
          <t>Wednesday</t>
        </is>
      </c>
      <c r="E249" s="12" t="n">
        <v>247</v>
      </c>
      <c r="F249" s="27" t="n">
        <v>222300</v>
      </c>
      <c r="G249" s="27" t="n">
        <v>61.75</v>
      </c>
      <c r="H249" s="39" t="n">
        <v>0.661</v>
      </c>
      <c r="I249" s="40">
        <f>H249*0.25</f>
        <v/>
      </c>
      <c r="J249" s="34">
        <f>J248+I249</f>
        <v/>
      </c>
      <c r="K249" s="12" t="inlineStr">
        <is>
          <t>Valid (Smart Meter)</t>
        </is>
      </c>
      <c r="L249" s="28" t="inlineStr">
        <is>
          <t>Daytime low activity / Home office</t>
        </is>
      </c>
    </row>
    <row r="250">
      <c r="A250" s="15" t="inlineStr">
        <is>
          <t>2025-11-12 14:00:00</t>
        </is>
      </c>
      <c r="B250" s="15" t="inlineStr">
        <is>
          <t>2025-11-12</t>
        </is>
      </c>
      <c r="C250" s="15" t="inlineStr">
        <is>
          <t>14:00</t>
        </is>
      </c>
      <c r="D250" s="15" t="inlineStr">
        <is>
          <t>Wednesday</t>
        </is>
      </c>
      <c r="E250" s="15" t="n">
        <v>248</v>
      </c>
      <c r="F250" s="25" t="n">
        <v>223200</v>
      </c>
      <c r="G250" s="25" t="n">
        <v>62</v>
      </c>
      <c r="H250" s="37" t="n">
        <v>0.543</v>
      </c>
      <c r="I250" s="38">
        <f>H250*0.25</f>
        <v/>
      </c>
      <c r="J250" s="35">
        <f>J249+I250</f>
        <v/>
      </c>
      <c r="K250" s="15" t="inlineStr">
        <is>
          <t>Valid (Smart Meter)</t>
        </is>
      </c>
      <c r="L250" s="26" t="inlineStr">
        <is>
          <t>Daytime low activity / Home office</t>
        </is>
      </c>
    </row>
    <row r="251">
      <c r="A251" s="15" t="inlineStr">
        <is>
          <t>2025-11-12 14:15:00</t>
        </is>
      </c>
      <c r="B251" s="15" t="inlineStr">
        <is>
          <t>2025-11-12</t>
        </is>
      </c>
      <c r="C251" s="15" t="inlineStr">
        <is>
          <t>14:15</t>
        </is>
      </c>
      <c r="D251" s="15" t="inlineStr">
        <is>
          <t>Wednesday</t>
        </is>
      </c>
      <c r="E251" s="15" t="n">
        <v>249</v>
      </c>
      <c r="F251" s="25" t="n">
        <v>224100</v>
      </c>
      <c r="G251" s="25" t="n">
        <v>62.25</v>
      </c>
      <c r="H251" s="37" t="n">
        <v>0.647</v>
      </c>
      <c r="I251" s="38">
        <f>H251*0.25</f>
        <v/>
      </c>
      <c r="J251" s="35">
        <f>J250+I251</f>
        <v/>
      </c>
      <c r="K251" s="15" t="inlineStr">
        <is>
          <t>Valid (Smart Meter)</t>
        </is>
      </c>
      <c r="L251" s="26" t="inlineStr">
        <is>
          <t>Daytime low activity / Home office</t>
        </is>
      </c>
    </row>
    <row r="252">
      <c r="A252" s="15" t="inlineStr">
        <is>
          <t>2025-11-12 14:30:00</t>
        </is>
      </c>
      <c r="B252" s="15" t="inlineStr">
        <is>
          <t>2025-11-12</t>
        </is>
      </c>
      <c r="C252" s="15" t="inlineStr">
        <is>
          <t>14:30</t>
        </is>
      </c>
      <c r="D252" s="15" t="inlineStr">
        <is>
          <t>Wednesday</t>
        </is>
      </c>
      <c r="E252" s="15" t="n">
        <v>250</v>
      </c>
      <c r="F252" s="25" t="n">
        <v>225000</v>
      </c>
      <c r="G252" s="25" t="n">
        <v>62.5</v>
      </c>
      <c r="H252" s="37" t="n">
        <v>0.647</v>
      </c>
      <c r="I252" s="38">
        <f>H252*0.25</f>
        <v/>
      </c>
      <c r="J252" s="35">
        <f>J251+I252</f>
        <v/>
      </c>
      <c r="K252" s="15" t="inlineStr">
        <is>
          <t>Valid (Smart Meter)</t>
        </is>
      </c>
      <c r="L252" s="26" t="inlineStr">
        <is>
          <t>Daytime low activity / Home office</t>
        </is>
      </c>
    </row>
    <row r="253">
      <c r="A253" s="15" t="inlineStr">
        <is>
          <t>2025-11-12 14:45:00</t>
        </is>
      </c>
      <c r="B253" s="15" t="inlineStr">
        <is>
          <t>2025-11-12</t>
        </is>
      </c>
      <c r="C253" s="15" t="inlineStr">
        <is>
          <t>14:45</t>
        </is>
      </c>
      <c r="D253" s="15" t="inlineStr">
        <is>
          <t>Wednesday</t>
        </is>
      </c>
      <c r="E253" s="15" t="n">
        <v>251</v>
      </c>
      <c r="F253" s="25" t="n">
        <v>225900</v>
      </c>
      <c r="G253" s="25" t="n">
        <v>62.75</v>
      </c>
      <c r="H253" s="37" t="n">
        <v>0.61</v>
      </c>
      <c r="I253" s="38">
        <f>H253*0.25</f>
        <v/>
      </c>
      <c r="J253" s="35">
        <f>J252+I253</f>
        <v/>
      </c>
      <c r="K253" s="15" t="inlineStr">
        <is>
          <t>Valid (Smart Meter)</t>
        </is>
      </c>
      <c r="L253" s="26" t="inlineStr">
        <is>
          <t>Daytime low activity / Home office</t>
        </is>
      </c>
    </row>
    <row r="254">
      <c r="A254" s="12" t="inlineStr">
        <is>
          <t>2025-11-12 15:00:00</t>
        </is>
      </c>
      <c r="B254" s="12" t="inlineStr">
        <is>
          <t>2025-11-12</t>
        </is>
      </c>
      <c r="C254" s="12" t="inlineStr">
        <is>
          <t>15:00</t>
        </is>
      </c>
      <c r="D254" s="12" t="inlineStr">
        <is>
          <t>Wednesday</t>
        </is>
      </c>
      <c r="E254" s="12" t="n">
        <v>252</v>
      </c>
      <c r="F254" s="27" t="n">
        <v>226800</v>
      </c>
      <c r="G254" s="27" t="n">
        <v>63</v>
      </c>
      <c r="H254" s="39" t="n">
        <v>0.703</v>
      </c>
      <c r="I254" s="40">
        <f>H254*0.25</f>
        <v/>
      </c>
      <c r="J254" s="34">
        <f>J253+I254</f>
        <v/>
      </c>
      <c r="K254" s="12" t="inlineStr">
        <is>
          <t>Valid (Smart Meter)</t>
        </is>
      </c>
      <c r="L254" s="28" t="inlineStr">
        <is>
          <t>Daytime low activity / Home office</t>
        </is>
      </c>
    </row>
    <row r="255">
      <c r="A255" s="12" t="inlineStr">
        <is>
          <t>2025-11-12 15:15:00</t>
        </is>
      </c>
      <c r="B255" s="12" t="inlineStr">
        <is>
          <t>2025-11-12</t>
        </is>
      </c>
      <c r="C255" s="12" t="inlineStr">
        <is>
          <t>15:15</t>
        </is>
      </c>
      <c r="D255" s="12" t="inlineStr">
        <is>
          <t>Wednesday</t>
        </is>
      </c>
      <c r="E255" s="12" t="n">
        <v>253</v>
      </c>
      <c r="F255" s="27" t="n">
        <v>227700</v>
      </c>
      <c r="G255" s="27" t="n">
        <v>63.25</v>
      </c>
      <c r="H255" s="39" t="n">
        <v>0.6929999999999999</v>
      </c>
      <c r="I255" s="40">
        <f>H255*0.25</f>
        <v/>
      </c>
      <c r="J255" s="34">
        <f>J254+I255</f>
        <v/>
      </c>
      <c r="K255" s="12" t="inlineStr">
        <is>
          <t>Valid (Smart Meter)</t>
        </is>
      </c>
      <c r="L255" s="28" t="inlineStr">
        <is>
          <t>Daytime low activity / Home office</t>
        </is>
      </c>
    </row>
    <row r="256">
      <c r="A256" s="12" t="inlineStr">
        <is>
          <t>2025-11-12 15:30:00</t>
        </is>
      </c>
      <c r="B256" s="12" t="inlineStr">
        <is>
          <t>2025-11-12</t>
        </is>
      </c>
      <c r="C256" s="12" t="inlineStr">
        <is>
          <t>15:30</t>
        </is>
      </c>
      <c r="D256" s="12" t="inlineStr">
        <is>
          <t>Wednesday</t>
        </is>
      </c>
      <c r="E256" s="12" t="n">
        <v>254</v>
      </c>
      <c r="F256" s="27" t="n">
        <v>228600</v>
      </c>
      <c r="G256" s="27" t="n">
        <v>63.5</v>
      </c>
      <c r="H256" s="39" t="n">
        <v>0.68</v>
      </c>
      <c r="I256" s="40">
        <f>H256*0.25</f>
        <v/>
      </c>
      <c r="J256" s="34">
        <f>J255+I256</f>
        <v/>
      </c>
      <c r="K256" s="12" t="inlineStr">
        <is>
          <t>Valid (Smart Meter)</t>
        </is>
      </c>
      <c r="L256" s="28" t="inlineStr">
        <is>
          <t>Daytime low activity / Home office</t>
        </is>
      </c>
    </row>
    <row r="257">
      <c r="A257" s="12" t="inlineStr">
        <is>
          <t>2025-11-12 15:45:00</t>
        </is>
      </c>
      <c r="B257" s="12" t="inlineStr">
        <is>
          <t>2025-11-12</t>
        </is>
      </c>
      <c r="C257" s="12" t="inlineStr">
        <is>
          <t>15:45</t>
        </is>
      </c>
      <c r="D257" s="12" t="inlineStr">
        <is>
          <t>Wednesday</t>
        </is>
      </c>
      <c r="E257" s="12" t="n">
        <v>255</v>
      </c>
      <c r="F257" s="27" t="n">
        <v>229500</v>
      </c>
      <c r="G257" s="27" t="n">
        <v>63.75</v>
      </c>
      <c r="H257" s="39" t="n">
        <v>0.747</v>
      </c>
      <c r="I257" s="40">
        <f>H257*0.25</f>
        <v/>
      </c>
      <c r="J257" s="34">
        <f>J256+I257</f>
        <v/>
      </c>
      <c r="K257" s="12" t="inlineStr">
        <is>
          <t>Valid (Smart Meter)</t>
        </is>
      </c>
      <c r="L257" s="28" t="inlineStr">
        <is>
          <t>Daytime low activity / Home office</t>
        </is>
      </c>
    </row>
    <row r="258">
      <c r="A258" s="15" t="inlineStr">
        <is>
          <t>2025-11-12 16:00:00</t>
        </is>
      </c>
      <c r="B258" s="15" t="inlineStr">
        <is>
          <t>2025-11-12</t>
        </is>
      </c>
      <c r="C258" s="15" t="inlineStr">
        <is>
          <t>16:00</t>
        </is>
      </c>
      <c r="D258" s="15" t="inlineStr">
        <is>
          <t>Wednesday</t>
        </is>
      </c>
      <c r="E258" s="15" t="n">
        <v>256</v>
      </c>
      <c r="F258" s="25" t="n">
        <v>230400</v>
      </c>
      <c r="G258" s="25" t="n">
        <v>64</v>
      </c>
      <c r="H258" s="37" t="n">
        <v>0.721</v>
      </c>
      <c r="I258" s="38">
        <f>H258*0.25</f>
        <v/>
      </c>
      <c r="J258" s="35">
        <f>J257+I258</f>
        <v/>
      </c>
      <c r="K258" s="15" t="inlineStr">
        <is>
          <t>Valid (Smart Meter)</t>
        </is>
      </c>
      <c r="L258" s="26" t="inlineStr">
        <is>
          <t>Daytime low activity / Home office</t>
        </is>
      </c>
    </row>
    <row r="259">
      <c r="A259" s="15" t="inlineStr">
        <is>
          <t>2025-11-12 16:15:00</t>
        </is>
      </c>
      <c r="B259" s="15" t="inlineStr">
        <is>
          <t>2025-11-12</t>
        </is>
      </c>
      <c r="C259" s="15" t="inlineStr">
        <is>
          <t>16:15</t>
        </is>
      </c>
      <c r="D259" s="15" t="inlineStr">
        <is>
          <t>Wednesday</t>
        </is>
      </c>
      <c r="E259" s="15" t="n">
        <v>257</v>
      </c>
      <c r="F259" s="25" t="n">
        <v>231300</v>
      </c>
      <c r="G259" s="25" t="n">
        <v>64.25</v>
      </c>
      <c r="H259" s="37" t="n">
        <v>0.758</v>
      </c>
      <c r="I259" s="38">
        <f>H259*0.25</f>
        <v/>
      </c>
      <c r="J259" s="35">
        <f>J258+I259</f>
        <v/>
      </c>
      <c r="K259" s="15" t="inlineStr">
        <is>
          <t>Valid (Smart Meter)</t>
        </is>
      </c>
      <c r="L259" s="26" t="inlineStr">
        <is>
          <t>Daytime low activity / Home office</t>
        </is>
      </c>
    </row>
    <row r="260">
      <c r="A260" s="15" t="inlineStr">
        <is>
          <t>2025-11-12 16:30:00</t>
        </is>
      </c>
      <c r="B260" s="15" t="inlineStr">
        <is>
          <t>2025-11-12</t>
        </is>
      </c>
      <c r="C260" s="15" t="inlineStr">
        <is>
          <t>16:30</t>
        </is>
      </c>
      <c r="D260" s="15" t="inlineStr">
        <is>
          <t>Wednesday</t>
        </is>
      </c>
      <c r="E260" s="15" t="n">
        <v>258</v>
      </c>
      <c r="F260" s="25" t="n">
        <v>232200</v>
      </c>
      <c r="G260" s="25" t="n">
        <v>64.5</v>
      </c>
      <c r="H260" s="37" t="n">
        <v>1.599</v>
      </c>
      <c r="I260" s="38">
        <f>H260*0.25</f>
        <v/>
      </c>
      <c r="J260" s="35">
        <f>J259+I260</f>
        <v/>
      </c>
      <c r="K260" s="15" t="inlineStr">
        <is>
          <t>Valid (Smart Meter)</t>
        </is>
      </c>
      <c r="L260" s="26" t="inlineStr">
        <is>
          <t>Evening living / Lighting / Heat</t>
        </is>
      </c>
    </row>
    <row r="261">
      <c r="A261" s="15" t="inlineStr">
        <is>
          <t>2025-11-12 16:45:00</t>
        </is>
      </c>
      <c r="B261" s="15" t="inlineStr">
        <is>
          <t>2025-11-12</t>
        </is>
      </c>
      <c r="C261" s="15" t="inlineStr">
        <is>
          <t>16:45</t>
        </is>
      </c>
      <c r="D261" s="15" t="inlineStr">
        <is>
          <t>Wednesday</t>
        </is>
      </c>
      <c r="E261" s="15" t="n">
        <v>259</v>
      </c>
      <c r="F261" s="25" t="n">
        <v>233100</v>
      </c>
      <c r="G261" s="25" t="n">
        <v>64.75</v>
      </c>
      <c r="H261" s="37" t="n">
        <v>1.691</v>
      </c>
      <c r="I261" s="38">
        <f>H261*0.25</f>
        <v/>
      </c>
      <c r="J261" s="35">
        <f>J260+I261</f>
        <v/>
      </c>
      <c r="K261" s="15" t="inlineStr">
        <is>
          <t>Valid (Smart Meter)</t>
        </is>
      </c>
      <c r="L261" s="26" t="inlineStr">
        <is>
          <t>Evening living / Lighting / Heat</t>
        </is>
      </c>
    </row>
    <row r="262">
      <c r="A262" s="12" t="inlineStr">
        <is>
          <t>2025-11-12 17:00:00</t>
        </is>
      </c>
      <c r="B262" s="12" t="inlineStr">
        <is>
          <t>2025-11-12</t>
        </is>
      </c>
      <c r="C262" s="12" t="inlineStr">
        <is>
          <t>17:00</t>
        </is>
      </c>
      <c r="D262" s="12" t="inlineStr">
        <is>
          <t>Wednesday</t>
        </is>
      </c>
      <c r="E262" s="12" t="n">
        <v>260</v>
      </c>
      <c r="F262" s="27" t="n">
        <v>234000</v>
      </c>
      <c r="G262" s="27" t="n">
        <v>65</v>
      </c>
      <c r="H262" s="39" t="n">
        <v>1.724</v>
      </c>
      <c r="I262" s="40">
        <f>H262*0.25</f>
        <v/>
      </c>
      <c r="J262" s="34">
        <f>J261+I262</f>
        <v/>
      </c>
      <c r="K262" s="12" t="inlineStr">
        <is>
          <t>Valid (Smart Meter)</t>
        </is>
      </c>
      <c r="L262" s="28" t="inlineStr">
        <is>
          <t>Evening living / Lighting / Heat</t>
        </is>
      </c>
    </row>
    <row r="263">
      <c r="A263" s="12" t="inlineStr">
        <is>
          <t>2025-11-12 17:15:00</t>
        </is>
      </c>
      <c r="B263" s="12" t="inlineStr">
        <is>
          <t>2025-11-12</t>
        </is>
      </c>
      <c r="C263" s="12" t="inlineStr">
        <is>
          <t>17:15</t>
        </is>
      </c>
      <c r="D263" s="12" t="inlineStr">
        <is>
          <t>Wednesday</t>
        </is>
      </c>
      <c r="E263" s="12" t="n">
        <v>261</v>
      </c>
      <c r="F263" s="27" t="n">
        <v>234900</v>
      </c>
      <c r="G263" s="27" t="n">
        <v>65.25</v>
      </c>
      <c r="H263" s="39" t="n">
        <v>1.628</v>
      </c>
      <c r="I263" s="40">
        <f>H263*0.25</f>
        <v/>
      </c>
      <c r="J263" s="34">
        <f>J262+I263</f>
        <v/>
      </c>
      <c r="K263" s="12" t="inlineStr">
        <is>
          <t>Valid (Smart Meter)</t>
        </is>
      </c>
      <c r="L263" s="28" t="inlineStr">
        <is>
          <t>Evening living / Lighting / Heat</t>
        </is>
      </c>
    </row>
    <row r="264">
      <c r="A264" s="12" t="inlineStr">
        <is>
          <t>2025-11-12 17:30:00</t>
        </is>
      </c>
      <c r="B264" s="12" t="inlineStr">
        <is>
          <t>2025-11-12</t>
        </is>
      </c>
      <c r="C264" s="12" t="inlineStr">
        <is>
          <t>17:30</t>
        </is>
      </c>
      <c r="D264" s="12" t="inlineStr">
        <is>
          <t>Wednesday</t>
        </is>
      </c>
      <c r="E264" s="12" t="n">
        <v>262</v>
      </c>
      <c r="F264" s="27" t="n">
        <v>235800</v>
      </c>
      <c r="G264" s="27" t="n">
        <v>65.5</v>
      </c>
      <c r="H264" s="39" t="n">
        <v>1.665</v>
      </c>
      <c r="I264" s="40">
        <f>H264*0.25</f>
        <v/>
      </c>
      <c r="J264" s="34">
        <f>J263+I264</f>
        <v/>
      </c>
      <c r="K264" s="12" t="inlineStr">
        <is>
          <t>Valid (Smart Meter)</t>
        </is>
      </c>
      <c r="L264" s="28" t="inlineStr">
        <is>
          <t>Evening living / Lighting / Heat</t>
        </is>
      </c>
    </row>
    <row r="265">
      <c r="A265" s="12" t="inlineStr">
        <is>
          <t>2025-11-12 17:45:00</t>
        </is>
      </c>
      <c r="B265" s="12" t="inlineStr">
        <is>
          <t>2025-11-12</t>
        </is>
      </c>
      <c r="C265" s="12" t="inlineStr">
        <is>
          <t>17:45</t>
        </is>
      </c>
      <c r="D265" s="12" t="inlineStr">
        <is>
          <t>Wednesday</t>
        </is>
      </c>
      <c r="E265" s="12" t="n">
        <v>263</v>
      </c>
      <c r="F265" s="27" t="n">
        <v>236700</v>
      </c>
      <c r="G265" s="27" t="n">
        <v>65.75</v>
      </c>
      <c r="H265" s="39" t="n">
        <v>1.764</v>
      </c>
      <c r="I265" s="40">
        <f>H265*0.25</f>
        <v/>
      </c>
      <c r="J265" s="34">
        <f>J264+I265</f>
        <v/>
      </c>
      <c r="K265" s="12" t="inlineStr">
        <is>
          <t>Valid (Smart Meter)</t>
        </is>
      </c>
      <c r="L265" s="28" t="inlineStr">
        <is>
          <t>Evening living / Lighting / Heat</t>
        </is>
      </c>
    </row>
    <row r="266">
      <c r="A266" s="15" t="inlineStr">
        <is>
          <t>2025-11-12 18:00:00</t>
        </is>
      </c>
      <c r="B266" s="15" t="inlineStr">
        <is>
          <t>2025-11-12</t>
        </is>
      </c>
      <c r="C266" s="15" t="inlineStr">
        <is>
          <t>18:00</t>
        </is>
      </c>
      <c r="D266" s="15" t="inlineStr">
        <is>
          <t>Wednesday</t>
        </is>
      </c>
      <c r="E266" s="15" t="n">
        <v>264</v>
      </c>
      <c r="F266" s="25" t="n">
        <v>237600</v>
      </c>
      <c r="G266" s="25" t="n">
        <v>66</v>
      </c>
      <c r="H266" s="37" t="n">
        <v>4.23</v>
      </c>
      <c r="I266" s="38">
        <f>H266*0.25</f>
        <v/>
      </c>
      <c r="J266" s="35">
        <f>J265+I266</f>
        <v/>
      </c>
      <c r="K266" s="15" t="inlineStr">
        <is>
          <t>Valid (Smart Meter)</t>
        </is>
      </c>
      <c r="L266" s="26" t="inlineStr">
        <is>
          <t>Dinner cooking (Oven / Induction hob)</t>
        </is>
      </c>
    </row>
    <row r="267">
      <c r="A267" s="15" t="inlineStr">
        <is>
          <t>2025-11-12 18:15:00</t>
        </is>
      </c>
      <c r="B267" s="15" t="inlineStr">
        <is>
          <t>2025-11-12</t>
        </is>
      </c>
      <c r="C267" s="15" t="inlineStr">
        <is>
          <t>18:15</t>
        </is>
      </c>
      <c r="D267" s="15" t="inlineStr">
        <is>
          <t>Wednesday</t>
        </is>
      </c>
      <c r="E267" s="15" t="n">
        <v>265</v>
      </c>
      <c r="F267" s="25" t="n">
        <v>238500</v>
      </c>
      <c r="G267" s="25" t="n">
        <v>66.25</v>
      </c>
      <c r="H267" s="37" t="n">
        <v>4.262</v>
      </c>
      <c r="I267" s="38">
        <f>H267*0.25</f>
        <v/>
      </c>
      <c r="J267" s="35">
        <f>J266+I267</f>
        <v/>
      </c>
      <c r="K267" s="15" t="inlineStr">
        <is>
          <t>Valid (Smart Meter)</t>
        </is>
      </c>
      <c r="L267" s="26" t="inlineStr">
        <is>
          <t>Dinner cooking (Oven / Induction hob)</t>
        </is>
      </c>
    </row>
    <row r="268">
      <c r="A268" s="15" t="inlineStr">
        <is>
          <t>2025-11-12 18:30:00</t>
        </is>
      </c>
      <c r="B268" s="15" t="inlineStr">
        <is>
          <t>2025-11-12</t>
        </is>
      </c>
      <c r="C268" s="15" t="inlineStr">
        <is>
          <t>18:30</t>
        </is>
      </c>
      <c r="D268" s="15" t="inlineStr">
        <is>
          <t>Wednesday</t>
        </is>
      </c>
      <c r="E268" s="15" t="n">
        <v>266</v>
      </c>
      <c r="F268" s="25" t="n">
        <v>239400</v>
      </c>
      <c r="G268" s="25" t="n">
        <v>66.5</v>
      </c>
      <c r="H268" s="37" t="n">
        <v>4.333</v>
      </c>
      <c r="I268" s="38">
        <f>H268*0.25</f>
        <v/>
      </c>
      <c r="J268" s="35">
        <f>J267+I268</f>
        <v/>
      </c>
      <c r="K268" s="15" t="inlineStr">
        <is>
          <t>Valid (Smart Meter)</t>
        </is>
      </c>
      <c r="L268" s="26" t="inlineStr">
        <is>
          <t>Dinner cooking (Oven / Induction hob)</t>
        </is>
      </c>
    </row>
    <row r="269">
      <c r="A269" s="15" t="inlineStr">
        <is>
          <t>2025-11-12 18:45:00</t>
        </is>
      </c>
      <c r="B269" s="15" t="inlineStr">
        <is>
          <t>2025-11-12</t>
        </is>
      </c>
      <c r="C269" s="15" t="inlineStr">
        <is>
          <t>18:45</t>
        </is>
      </c>
      <c r="D269" s="15" t="inlineStr">
        <is>
          <t>Wednesday</t>
        </is>
      </c>
      <c r="E269" s="15" t="n">
        <v>267</v>
      </c>
      <c r="F269" s="25" t="n">
        <v>240300</v>
      </c>
      <c r="G269" s="25" t="n">
        <v>66.75</v>
      </c>
      <c r="H269" s="37" t="n">
        <v>4.352</v>
      </c>
      <c r="I269" s="38">
        <f>H269*0.25</f>
        <v/>
      </c>
      <c r="J269" s="35">
        <f>J268+I269</f>
        <v/>
      </c>
      <c r="K269" s="15" t="inlineStr">
        <is>
          <t>Valid (Smart Meter)</t>
        </is>
      </c>
      <c r="L269" s="26" t="inlineStr">
        <is>
          <t>Dinner cooking (Oven / Induction hob)</t>
        </is>
      </c>
    </row>
    <row r="270">
      <c r="A270" s="12" t="inlineStr">
        <is>
          <t>2025-11-12 19:00:00</t>
        </is>
      </c>
      <c r="B270" s="12" t="inlineStr">
        <is>
          <t>2025-11-12</t>
        </is>
      </c>
      <c r="C270" s="12" t="inlineStr">
        <is>
          <t>19:00</t>
        </is>
      </c>
      <c r="D270" s="12" t="inlineStr">
        <is>
          <t>Wednesday</t>
        </is>
      </c>
      <c r="E270" s="12" t="n">
        <v>268</v>
      </c>
      <c r="F270" s="27" t="n">
        <v>241200</v>
      </c>
      <c r="G270" s="27" t="n">
        <v>67</v>
      </c>
      <c r="H270" s="39" t="n">
        <v>4.243</v>
      </c>
      <c r="I270" s="40">
        <f>H270*0.25</f>
        <v/>
      </c>
      <c r="J270" s="34">
        <f>J269+I270</f>
        <v/>
      </c>
      <c r="K270" s="12" t="inlineStr">
        <is>
          <t>Valid (Smart Meter)</t>
        </is>
      </c>
      <c r="L270" s="28" t="inlineStr">
        <is>
          <t>Dinner cooking (Oven / Induction hob)</t>
        </is>
      </c>
    </row>
    <row r="271">
      <c r="A271" s="12" t="inlineStr">
        <is>
          <t>2025-11-12 19:15:00</t>
        </is>
      </c>
      <c r="B271" s="12" t="inlineStr">
        <is>
          <t>2025-11-12</t>
        </is>
      </c>
      <c r="C271" s="12" t="inlineStr">
        <is>
          <t>19:15</t>
        </is>
      </c>
      <c r="D271" s="12" t="inlineStr">
        <is>
          <t>Wednesday</t>
        </is>
      </c>
      <c r="E271" s="12" t="n">
        <v>269</v>
      </c>
      <c r="F271" s="27" t="n">
        <v>242100</v>
      </c>
      <c r="G271" s="27" t="n">
        <v>67.25</v>
      </c>
      <c r="H271" s="39" t="n">
        <v>4.166</v>
      </c>
      <c r="I271" s="40">
        <f>H271*0.25</f>
        <v/>
      </c>
      <c r="J271" s="34">
        <f>J270+I271</f>
        <v/>
      </c>
      <c r="K271" s="12" t="inlineStr">
        <is>
          <t>Valid (Smart Meter)</t>
        </is>
      </c>
      <c r="L271" s="28" t="inlineStr">
        <is>
          <t>Dinner cooking (Oven / Induction hob)</t>
        </is>
      </c>
    </row>
    <row r="272">
      <c r="A272" s="12" t="inlineStr">
        <is>
          <t>2025-11-12 19:30:00</t>
        </is>
      </c>
      <c r="B272" s="12" t="inlineStr">
        <is>
          <t>2025-11-12</t>
        </is>
      </c>
      <c r="C272" s="12" t="inlineStr">
        <is>
          <t>19:30</t>
        </is>
      </c>
      <c r="D272" s="12" t="inlineStr">
        <is>
          <t>Wednesday</t>
        </is>
      </c>
      <c r="E272" s="12" t="n">
        <v>270</v>
      </c>
      <c r="F272" s="27" t="n">
        <v>243000</v>
      </c>
      <c r="G272" s="27" t="n">
        <v>67.5</v>
      </c>
      <c r="H272" s="39" t="n">
        <v>4.494</v>
      </c>
      <c r="I272" s="40">
        <f>H272*0.25</f>
        <v/>
      </c>
      <c r="J272" s="34">
        <f>J271+I272</f>
        <v/>
      </c>
      <c r="K272" s="12" t="inlineStr">
        <is>
          <t>Valid (Smart Meter)</t>
        </is>
      </c>
      <c r="L272" s="28" t="inlineStr">
        <is>
          <t>Dinner cooking (Oven / Induction hob)</t>
        </is>
      </c>
    </row>
    <row r="273">
      <c r="A273" s="12" t="inlineStr">
        <is>
          <t>2025-11-12 19:45:00</t>
        </is>
      </c>
      <c r="B273" s="12" t="inlineStr">
        <is>
          <t>2025-11-12</t>
        </is>
      </c>
      <c r="C273" s="12" t="inlineStr">
        <is>
          <t>19:45</t>
        </is>
      </c>
      <c r="D273" s="12" t="inlineStr">
        <is>
          <t>Wednesday</t>
        </is>
      </c>
      <c r="E273" s="12" t="n">
        <v>271</v>
      </c>
      <c r="F273" s="27" t="n">
        <v>243900</v>
      </c>
      <c r="G273" s="27" t="n">
        <v>67.75</v>
      </c>
      <c r="H273" s="39" t="n">
        <v>1.989</v>
      </c>
      <c r="I273" s="40">
        <f>H273*0.25</f>
        <v/>
      </c>
      <c r="J273" s="34">
        <f>J272+I273</f>
        <v/>
      </c>
      <c r="K273" s="12" t="inlineStr">
        <is>
          <t>Valid (Smart Meter)</t>
        </is>
      </c>
      <c r="L273" s="28" t="inlineStr">
        <is>
          <t>Evening living / Lighting / Heat</t>
        </is>
      </c>
    </row>
    <row r="274">
      <c r="A274" s="15" t="inlineStr">
        <is>
          <t>2025-11-12 20:00:00</t>
        </is>
      </c>
      <c r="B274" s="15" t="inlineStr">
        <is>
          <t>2025-11-12</t>
        </is>
      </c>
      <c r="C274" s="15" t="inlineStr">
        <is>
          <t>20:00</t>
        </is>
      </c>
      <c r="D274" s="15" t="inlineStr">
        <is>
          <t>Wednesday</t>
        </is>
      </c>
      <c r="E274" s="15" t="n">
        <v>272</v>
      </c>
      <c r="F274" s="25" t="n">
        <v>244800</v>
      </c>
      <c r="G274" s="25" t="n">
        <v>68</v>
      </c>
      <c r="H274" s="37" t="n">
        <v>3.353</v>
      </c>
      <c r="I274" s="38">
        <f>H274*0.25</f>
        <v/>
      </c>
      <c r="J274" s="35">
        <f>J273+I274</f>
        <v/>
      </c>
      <c r="K274" s="15" t="inlineStr">
        <is>
          <t>Valid (Smart Meter)</t>
        </is>
      </c>
      <c r="L274" s="26" t="inlineStr">
        <is>
          <t>Dishwasher cycle / TV</t>
        </is>
      </c>
    </row>
    <row r="275">
      <c r="A275" s="15" t="inlineStr">
        <is>
          <t>2025-11-12 20:15:00</t>
        </is>
      </c>
      <c r="B275" s="15" t="inlineStr">
        <is>
          <t>2025-11-12</t>
        </is>
      </c>
      <c r="C275" s="15" t="inlineStr">
        <is>
          <t>20:15</t>
        </is>
      </c>
      <c r="D275" s="15" t="inlineStr">
        <is>
          <t>Wednesday</t>
        </is>
      </c>
      <c r="E275" s="15" t="n">
        <v>273</v>
      </c>
      <c r="F275" s="25" t="n">
        <v>245700</v>
      </c>
      <c r="G275" s="25" t="n">
        <v>68.25</v>
      </c>
      <c r="H275" s="37" t="n">
        <v>3.674</v>
      </c>
      <c r="I275" s="38">
        <f>H275*0.25</f>
        <v/>
      </c>
      <c r="J275" s="35">
        <f>J274+I275</f>
        <v/>
      </c>
      <c r="K275" s="15" t="inlineStr">
        <is>
          <t>Valid (Smart Meter)</t>
        </is>
      </c>
      <c r="L275" s="26" t="inlineStr">
        <is>
          <t>Dishwasher cycle / TV</t>
        </is>
      </c>
    </row>
    <row r="276">
      <c r="A276" s="15" t="inlineStr">
        <is>
          <t>2025-11-12 20:30:00</t>
        </is>
      </c>
      <c r="B276" s="15" t="inlineStr">
        <is>
          <t>2025-11-12</t>
        </is>
      </c>
      <c r="C276" s="15" t="inlineStr">
        <is>
          <t>20:30</t>
        </is>
      </c>
      <c r="D276" s="15" t="inlineStr">
        <is>
          <t>Wednesday</t>
        </is>
      </c>
      <c r="E276" s="15" t="n">
        <v>274</v>
      </c>
      <c r="F276" s="25" t="n">
        <v>246600</v>
      </c>
      <c r="G276" s="25" t="n">
        <v>68.5</v>
      </c>
      <c r="H276" s="37" t="n">
        <v>3.589</v>
      </c>
      <c r="I276" s="38">
        <f>H276*0.25</f>
        <v/>
      </c>
      <c r="J276" s="35">
        <f>J275+I276</f>
        <v/>
      </c>
      <c r="K276" s="15" t="inlineStr">
        <is>
          <t>Valid (Smart Meter)</t>
        </is>
      </c>
      <c r="L276" s="26" t="inlineStr">
        <is>
          <t>Dishwasher cycle / TV</t>
        </is>
      </c>
    </row>
    <row r="277">
      <c r="A277" s="15" t="inlineStr">
        <is>
          <t>2025-11-12 20:45:00</t>
        </is>
      </c>
      <c r="B277" s="15" t="inlineStr">
        <is>
          <t>2025-11-12</t>
        </is>
      </c>
      <c r="C277" s="15" t="inlineStr">
        <is>
          <t>20:45</t>
        </is>
      </c>
      <c r="D277" s="15" t="inlineStr">
        <is>
          <t>Wednesday</t>
        </is>
      </c>
      <c r="E277" s="15" t="n">
        <v>275</v>
      </c>
      <c r="F277" s="25" t="n">
        <v>247500</v>
      </c>
      <c r="G277" s="25" t="n">
        <v>68.75</v>
      </c>
      <c r="H277" s="37" t="n">
        <v>3.582</v>
      </c>
      <c r="I277" s="38">
        <f>H277*0.25</f>
        <v/>
      </c>
      <c r="J277" s="35">
        <f>J276+I277</f>
        <v/>
      </c>
      <c r="K277" s="15" t="inlineStr">
        <is>
          <t>Valid (Smart Meter)</t>
        </is>
      </c>
      <c r="L277" s="26" t="inlineStr">
        <is>
          <t>Dishwasher cycle / TV</t>
        </is>
      </c>
    </row>
    <row r="278">
      <c r="A278" s="12" t="inlineStr">
        <is>
          <t>2025-11-12 21:00:00</t>
        </is>
      </c>
      <c r="B278" s="12" t="inlineStr">
        <is>
          <t>2025-11-12</t>
        </is>
      </c>
      <c r="C278" s="12" t="inlineStr">
        <is>
          <t>21:00</t>
        </is>
      </c>
      <c r="D278" s="12" t="inlineStr">
        <is>
          <t>Wednesday</t>
        </is>
      </c>
      <c r="E278" s="12" t="n">
        <v>276</v>
      </c>
      <c r="F278" s="27" t="n">
        <v>248400</v>
      </c>
      <c r="G278" s="27" t="n">
        <v>69</v>
      </c>
      <c r="H278" s="39" t="n">
        <v>3.566</v>
      </c>
      <c r="I278" s="40">
        <f>H278*0.25</f>
        <v/>
      </c>
      <c r="J278" s="34">
        <f>J277+I278</f>
        <v/>
      </c>
      <c r="K278" s="12" t="inlineStr">
        <is>
          <t>Valid (Smart Meter)</t>
        </is>
      </c>
      <c r="L278" s="28" t="inlineStr">
        <is>
          <t>Dishwasher cycle / TV</t>
        </is>
      </c>
    </row>
    <row r="279">
      <c r="A279" s="12" t="inlineStr">
        <is>
          <t>2025-11-12 21:15:00</t>
        </is>
      </c>
      <c r="B279" s="12" t="inlineStr">
        <is>
          <t>2025-11-12</t>
        </is>
      </c>
      <c r="C279" s="12" t="inlineStr">
        <is>
          <t>21:15</t>
        </is>
      </c>
      <c r="D279" s="12" t="inlineStr">
        <is>
          <t>Wednesday</t>
        </is>
      </c>
      <c r="E279" s="12" t="n">
        <v>277</v>
      </c>
      <c r="F279" s="27" t="n">
        <v>249300</v>
      </c>
      <c r="G279" s="27" t="n">
        <v>69.25</v>
      </c>
      <c r="H279" s="39" t="n">
        <v>3.421</v>
      </c>
      <c r="I279" s="40">
        <f>H279*0.25</f>
        <v/>
      </c>
      <c r="J279" s="34">
        <f>J278+I279</f>
        <v/>
      </c>
      <c r="K279" s="12" t="inlineStr">
        <is>
          <t>Valid (Smart Meter)</t>
        </is>
      </c>
      <c r="L279" s="28" t="inlineStr">
        <is>
          <t>Dishwasher cycle / TV</t>
        </is>
      </c>
    </row>
    <row r="280">
      <c r="A280" s="12" t="inlineStr">
        <is>
          <t>2025-11-12 21:30:00</t>
        </is>
      </c>
      <c r="B280" s="12" t="inlineStr">
        <is>
          <t>2025-11-12</t>
        </is>
      </c>
      <c r="C280" s="12" t="inlineStr">
        <is>
          <t>21:30</t>
        </is>
      </c>
      <c r="D280" s="12" t="inlineStr">
        <is>
          <t>Wednesday</t>
        </is>
      </c>
      <c r="E280" s="12" t="n">
        <v>278</v>
      </c>
      <c r="F280" s="27" t="n">
        <v>250200</v>
      </c>
      <c r="G280" s="27" t="n">
        <v>69.5</v>
      </c>
      <c r="H280" s="39" t="n">
        <v>3.597</v>
      </c>
      <c r="I280" s="40">
        <f>H280*0.25</f>
        <v/>
      </c>
      <c r="J280" s="34">
        <f>J279+I280</f>
        <v/>
      </c>
      <c r="K280" s="12" t="inlineStr">
        <is>
          <t>Valid (Smart Meter)</t>
        </is>
      </c>
      <c r="L280" s="28" t="inlineStr">
        <is>
          <t>Dishwasher cycle / TV</t>
        </is>
      </c>
    </row>
    <row r="281">
      <c r="A281" s="12" t="inlineStr">
        <is>
          <t>2025-11-12 21:45:00</t>
        </is>
      </c>
      <c r="B281" s="12" t="inlineStr">
        <is>
          <t>2025-11-12</t>
        </is>
      </c>
      <c r="C281" s="12" t="inlineStr">
        <is>
          <t>21:45</t>
        </is>
      </c>
      <c r="D281" s="12" t="inlineStr">
        <is>
          <t>Wednesday</t>
        </is>
      </c>
      <c r="E281" s="12" t="n">
        <v>279</v>
      </c>
      <c r="F281" s="27" t="n">
        <v>251100</v>
      </c>
      <c r="G281" s="27" t="n">
        <v>69.75</v>
      </c>
      <c r="H281" s="39" t="n">
        <v>1.932</v>
      </c>
      <c r="I281" s="40">
        <f>H281*0.25</f>
        <v/>
      </c>
      <c r="J281" s="34">
        <f>J280+I281</f>
        <v/>
      </c>
      <c r="K281" s="12" t="inlineStr">
        <is>
          <t>Valid (Smart Meter)</t>
        </is>
      </c>
      <c r="L281" s="28" t="inlineStr">
        <is>
          <t>Evening living / Lighting / Heat</t>
        </is>
      </c>
    </row>
    <row r="282">
      <c r="A282" s="15" t="inlineStr">
        <is>
          <t>2025-11-12 22:00:00</t>
        </is>
      </c>
      <c r="B282" s="15" t="inlineStr">
        <is>
          <t>2025-11-12</t>
        </is>
      </c>
      <c r="C282" s="15" t="inlineStr">
        <is>
          <t>22:00</t>
        </is>
      </c>
      <c r="D282" s="15" t="inlineStr">
        <is>
          <t>Wednesday</t>
        </is>
      </c>
      <c r="E282" s="15" t="n">
        <v>280</v>
      </c>
      <c r="F282" s="25" t="n">
        <v>252000</v>
      </c>
      <c r="G282" s="25" t="n">
        <v>70</v>
      </c>
      <c r="H282" s="37" t="n">
        <v>1.877</v>
      </c>
      <c r="I282" s="38">
        <f>H282*0.25</f>
        <v/>
      </c>
      <c r="J282" s="35">
        <f>J281+I282</f>
        <v/>
      </c>
      <c r="K282" s="15" t="inlineStr">
        <is>
          <t>Valid (Smart Meter)</t>
        </is>
      </c>
      <c r="L282" s="26" t="inlineStr">
        <is>
          <t>Evening living / Lighting / Heat</t>
        </is>
      </c>
    </row>
    <row r="283">
      <c r="A283" s="15" t="inlineStr">
        <is>
          <t>2025-11-12 22:15:00</t>
        </is>
      </c>
      <c r="B283" s="15" t="inlineStr">
        <is>
          <t>2025-11-12</t>
        </is>
      </c>
      <c r="C283" s="15" t="inlineStr">
        <is>
          <t>22:15</t>
        </is>
      </c>
      <c r="D283" s="15" t="inlineStr">
        <is>
          <t>Wednesday</t>
        </is>
      </c>
      <c r="E283" s="15" t="n">
        <v>281</v>
      </c>
      <c r="F283" s="25" t="n">
        <v>252900</v>
      </c>
      <c r="G283" s="25" t="n">
        <v>70.25</v>
      </c>
      <c r="H283" s="37" t="n">
        <v>1.864</v>
      </c>
      <c r="I283" s="38">
        <f>H283*0.25</f>
        <v/>
      </c>
      <c r="J283" s="35">
        <f>J282+I283</f>
        <v/>
      </c>
      <c r="K283" s="15" t="inlineStr">
        <is>
          <t>Valid (Smart Meter)</t>
        </is>
      </c>
      <c r="L283" s="26" t="inlineStr">
        <is>
          <t>Evening living / Lighting / Heat</t>
        </is>
      </c>
    </row>
    <row r="284">
      <c r="A284" s="15" t="inlineStr">
        <is>
          <t>2025-11-12 22:30:00</t>
        </is>
      </c>
      <c r="B284" s="15" t="inlineStr">
        <is>
          <t>2025-11-12</t>
        </is>
      </c>
      <c r="C284" s="15" t="inlineStr">
        <is>
          <t>22:30</t>
        </is>
      </c>
      <c r="D284" s="15" t="inlineStr">
        <is>
          <t>Wednesday</t>
        </is>
      </c>
      <c r="E284" s="15" t="n">
        <v>282</v>
      </c>
      <c r="F284" s="25" t="n">
        <v>253800</v>
      </c>
      <c r="G284" s="25" t="n">
        <v>70.5</v>
      </c>
      <c r="H284" s="37" t="n">
        <v>1.799</v>
      </c>
      <c r="I284" s="38">
        <f>H284*0.25</f>
        <v/>
      </c>
      <c r="J284" s="35">
        <f>J283+I284</f>
        <v/>
      </c>
      <c r="K284" s="15" t="inlineStr">
        <is>
          <t>Valid (Smart Meter)</t>
        </is>
      </c>
      <c r="L284" s="26" t="inlineStr">
        <is>
          <t>Evening living / Lighting / Heat</t>
        </is>
      </c>
    </row>
    <row r="285">
      <c r="A285" s="15" t="inlineStr">
        <is>
          <t>2025-11-12 22:45:00</t>
        </is>
      </c>
      <c r="B285" s="15" t="inlineStr">
        <is>
          <t>2025-11-12</t>
        </is>
      </c>
      <c r="C285" s="15" t="inlineStr">
        <is>
          <t>22:45</t>
        </is>
      </c>
      <c r="D285" s="15" t="inlineStr">
        <is>
          <t>Wednesday</t>
        </is>
      </c>
      <c r="E285" s="15" t="n">
        <v>283</v>
      </c>
      <c r="F285" s="25" t="n">
        <v>254700</v>
      </c>
      <c r="G285" s="25" t="n">
        <v>70.75</v>
      </c>
      <c r="H285" s="37" t="n">
        <v>0.6899999999999999</v>
      </c>
      <c r="I285" s="38">
        <f>H285*0.25</f>
        <v/>
      </c>
      <c r="J285" s="35">
        <f>J284+I285</f>
        <v/>
      </c>
      <c r="K285" s="15" t="inlineStr">
        <is>
          <t>Valid (Smart Meter)</t>
        </is>
      </c>
      <c r="L285" s="26" t="inlineStr">
        <is>
          <t>Night baseload / Heating</t>
        </is>
      </c>
    </row>
    <row r="286">
      <c r="A286" s="12" t="inlineStr">
        <is>
          <t>2025-11-12 23:00:00</t>
        </is>
      </c>
      <c r="B286" s="12" t="inlineStr">
        <is>
          <t>2025-11-12</t>
        </is>
      </c>
      <c r="C286" s="12" t="inlineStr">
        <is>
          <t>23:00</t>
        </is>
      </c>
      <c r="D286" s="12" t="inlineStr">
        <is>
          <t>Wednesday</t>
        </is>
      </c>
      <c r="E286" s="12" t="n">
        <v>284</v>
      </c>
      <c r="F286" s="27" t="n">
        <v>255600</v>
      </c>
      <c r="G286" s="27" t="n">
        <v>71</v>
      </c>
      <c r="H286" s="39" t="n">
        <v>0.587</v>
      </c>
      <c r="I286" s="40">
        <f>H286*0.25</f>
        <v/>
      </c>
      <c r="J286" s="34">
        <f>J285+I286</f>
        <v/>
      </c>
      <c r="K286" s="12" t="inlineStr">
        <is>
          <t>Valid (Smart Meter)</t>
        </is>
      </c>
      <c r="L286" s="28" t="inlineStr">
        <is>
          <t>Night baseload / Heating</t>
        </is>
      </c>
    </row>
    <row r="287">
      <c r="A287" s="12" t="inlineStr">
        <is>
          <t>2025-11-12 23:15:00</t>
        </is>
      </c>
      <c r="B287" s="12" t="inlineStr">
        <is>
          <t>2025-11-12</t>
        </is>
      </c>
      <c r="C287" s="12" t="inlineStr">
        <is>
          <t>23:15</t>
        </is>
      </c>
      <c r="D287" s="12" t="inlineStr">
        <is>
          <t>Wednesday</t>
        </is>
      </c>
      <c r="E287" s="12" t="n">
        <v>285</v>
      </c>
      <c r="F287" s="27" t="n">
        <v>256500</v>
      </c>
      <c r="G287" s="27" t="n">
        <v>71.25</v>
      </c>
      <c r="H287" s="39" t="n">
        <v>0.5590000000000001</v>
      </c>
      <c r="I287" s="40">
        <f>H287*0.25</f>
        <v/>
      </c>
      <c r="J287" s="34">
        <f>J286+I287</f>
        <v/>
      </c>
      <c r="K287" s="12" t="inlineStr">
        <is>
          <t>Valid (Smart Meter)</t>
        </is>
      </c>
      <c r="L287" s="28" t="inlineStr">
        <is>
          <t>Night baseload / Heating</t>
        </is>
      </c>
    </row>
    <row r="288">
      <c r="A288" s="12" t="inlineStr">
        <is>
          <t>2025-11-12 23:30:00</t>
        </is>
      </c>
      <c r="B288" s="12" t="inlineStr">
        <is>
          <t>2025-11-12</t>
        </is>
      </c>
      <c r="C288" s="12" t="inlineStr">
        <is>
          <t>23:30</t>
        </is>
      </c>
      <c r="D288" s="12" t="inlineStr">
        <is>
          <t>Wednesday</t>
        </is>
      </c>
      <c r="E288" s="12" t="n">
        <v>286</v>
      </c>
      <c r="F288" s="27" t="n">
        <v>257400</v>
      </c>
      <c r="G288" s="27" t="n">
        <v>71.5</v>
      </c>
      <c r="H288" s="39" t="n">
        <v>0.45</v>
      </c>
      <c r="I288" s="40">
        <f>H288*0.25</f>
        <v/>
      </c>
      <c r="J288" s="34">
        <f>J287+I288</f>
        <v/>
      </c>
      <c r="K288" s="12" t="inlineStr">
        <is>
          <t>Valid (Smart Meter)</t>
        </is>
      </c>
      <c r="L288" s="28" t="inlineStr">
        <is>
          <t>Night baseload / Heating</t>
        </is>
      </c>
    </row>
    <row r="289">
      <c r="A289" s="12" t="inlineStr">
        <is>
          <t>2025-11-12 23:45:00</t>
        </is>
      </c>
      <c r="B289" s="12" t="inlineStr">
        <is>
          <t>2025-11-12</t>
        </is>
      </c>
      <c r="C289" s="12" t="inlineStr">
        <is>
          <t>23:45</t>
        </is>
      </c>
      <c r="D289" s="12" t="inlineStr">
        <is>
          <t>Wednesday</t>
        </is>
      </c>
      <c r="E289" s="12" t="n">
        <v>287</v>
      </c>
      <c r="F289" s="27" t="n">
        <v>258300</v>
      </c>
      <c r="G289" s="27" t="n">
        <v>71.75</v>
      </c>
      <c r="H289" s="39" t="n">
        <v>0.428</v>
      </c>
      <c r="I289" s="40">
        <f>H289*0.25</f>
        <v/>
      </c>
      <c r="J289" s="34">
        <f>J288+I289</f>
        <v/>
      </c>
      <c r="K289" s="12" t="inlineStr">
        <is>
          <t>Valid (Smart Meter)</t>
        </is>
      </c>
      <c r="L289" s="28" t="inlineStr">
        <is>
          <t>Night baseload / Heating</t>
        </is>
      </c>
    </row>
    <row r="290">
      <c r="A290" s="15" t="inlineStr">
        <is>
          <t>2025-11-13 00:00:00</t>
        </is>
      </c>
      <c r="B290" s="15" t="inlineStr">
        <is>
          <t>2025-11-13</t>
        </is>
      </c>
      <c r="C290" s="15" t="inlineStr">
        <is>
          <t>00:00</t>
        </is>
      </c>
      <c r="D290" s="15" t="inlineStr">
        <is>
          <t>Thursday</t>
        </is>
      </c>
      <c r="E290" s="15" t="n">
        <v>288</v>
      </c>
      <c r="F290" s="25" t="n">
        <v>259200</v>
      </c>
      <c r="G290" s="25" t="n">
        <v>72</v>
      </c>
      <c r="H290" s="37" t="n">
        <v>0.549</v>
      </c>
      <c r="I290" s="38">
        <f>H290*0.25</f>
        <v/>
      </c>
      <c r="J290" s="35">
        <f>J289+I290</f>
        <v/>
      </c>
      <c r="K290" s="15" t="inlineStr">
        <is>
          <t>Valid (Smart Meter)</t>
        </is>
      </c>
      <c r="L290" s="26" t="inlineStr">
        <is>
          <t>Night baseload / Heating</t>
        </is>
      </c>
    </row>
    <row r="291">
      <c r="A291" s="15" t="inlineStr">
        <is>
          <t>2025-11-13 00:15:00</t>
        </is>
      </c>
      <c r="B291" s="15" t="inlineStr">
        <is>
          <t>2025-11-13</t>
        </is>
      </c>
      <c r="C291" s="15" t="inlineStr">
        <is>
          <t>00:15</t>
        </is>
      </c>
      <c r="D291" s="15" t="inlineStr">
        <is>
          <t>Thursday</t>
        </is>
      </c>
      <c r="E291" s="15" t="n">
        <v>289</v>
      </c>
      <c r="F291" s="25" t="n">
        <v>260100</v>
      </c>
      <c r="G291" s="25" t="n">
        <v>72.25</v>
      </c>
      <c r="H291" s="37" t="n">
        <v>0.57</v>
      </c>
      <c r="I291" s="38">
        <f>H291*0.25</f>
        <v/>
      </c>
      <c r="J291" s="35">
        <f>J290+I291</f>
        <v/>
      </c>
      <c r="K291" s="15" t="inlineStr">
        <is>
          <t>Valid (Smart Meter)</t>
        </is>
      </c>
      <c r="L291" s="26" t="inlineStr">
        <is>
          <t>Night baseload / Heating</t>
        </is>
      </c>
    </row>
    <row r="292">
      <c r="A292" s="15" t="inlineStr">
        <is>
          <t>2025-11-13 00:30:00</t>
        </is>
      </c>
      <c r="B292" s="15" t="inlineStr">
        <is>
          <t>2025-11-13</t>
        </is>
      </c>
      <c r="C292" s="15" t="inlineStr">
        <is>
          <t>00:30</t>
        </is>
      </c>
      <c r="D292" s="15" t="inlineStr">
        <is>
          <t>Thursday</t>
        </is>
      </c>
      <c r="E292" s="15" t="n">
        <v>290</v>
      </c>
      <c r="F292" s="25" t="n">
        <v>261000</v>
      </c>
      <c r="G292" s="25" t="n">
        <v>72.5</v>
      </c>
      <c r="H292" s="37" t="n">
        <v>0.622</v>
      </c>
      <c r="I292" s="38">
        <f>H292*0.25</f>
        <v/>
      </c>
      <c r="J292" s="35">
        <f>J291+I292</f>
        <v/>
      </c>
      <c r="K292" s="15" t="inlineStr">
        <is>
          <t>Valid (Smart Meter)</t>
        </is>
      </c>
      <c r="L292" s="26" t="inlineStr">
        <is>
          <t>Night baseload / Heating</t>
        </is>
      </c>
    </row>
    <row r="293">
      <c r="A293" s="15" t="inlineStr">
        <is>
          <t>2025-11-13 00:45:00</t>
        </is>
      </c>
      <c r="B293" s="15" t="inlineStr">
        <is>
          <t>2025-11-13</t>
        </is>
      </c>
      <c r="C293" s="15" t="inlineStr">
        <is>
          <t>00:45</t>
        </is>
      </c>
      <c r="D293" s="15" t="inlineStr">
        <is>
          <t>Thursday</t>
        </is>
      </c>
      <c r="E293" s="15" t="n">
        <v>291</v>
      </c>
      <c r="F293" s="25" t="n">
        <v>261900</v>
      </c>
      <c r="G293" s="25" t="n">
        <v>72.75</v>
      </c>
      <c r="H293" s="37" t="n">
        <v>0.572</v>
      </c>
      <c r="I293" s="38">
        <f>H293*0.25</f>
        <v/>
      </c>
      <c r="J293" s="35">
        <f>J292+I293</f>
        <v/>
      </c>
      <c r="K293" s="15" t="inlineStr">
        <is>
          <t>Valid (Smart Meter)</t>
        </is>
      </c>
      <c r="L293" s="26" t="inlineStr">
        <is>
          <t>Night baseload / Heating</t>
        </is>
      </c>
    </row>
    <row r="294">
      <c r="A294" s="12" t="inlineStr">
        <is>
          <t>2025-11-13 01:00:00</t>
        </is>
      </c>
      <c r="B294" s="12" t="inlineStr">
        <is>
          <t>2025-11-13</t>
        </is>
      </c>
      <c r="C294" s="12" t="inlineStr">
        <is>
          <t>01:00</t>
        </is>
      </c>
      <c r="D294" s="12" t="inlineStr">
        <is>
          <t>Thursday</t>
        </is>
      </c>
      <c r="E294" s="12" t="n">
        <v>292</v>
      </c>
      <c r="F294" s="27" t="n">
        <v>262800</v>
      </c>
      <c r="G294" s="27" t="n">
        <v>73</v>
      </c>
      <c r="H294" s="39" t="n">
        <v>0.533</v>
      </c>
      <c r="I294" s="40">
        <f>H294*0.25</f>
        <v/>
      </c>
      <c r="J294" s="34">
        <f>J293+I294</f>
        <v/>
      </c>
      <c r="K294" s="12" t="inlineStr">
        <is>
          <t>Valid (Smart Meter)</t>
        </is>
      </c>
      <c r="L294" s="28" t="inlineStr">
        <is>
          <t>Night baseload / Heating</t>
        </is>
      </c>
    </row>
    <row r="295">
      <c r="A295" s="12" t="inlineStr">
        <is>
          <t>2025-11-13 01:15:00</t>
        </is>
      </c>
      <c r="B295" s="12" t="inlineStr">
        <is>
          <t>2025-11-13</t>
        </is>
      </c>
      <c r="C295" s="12" t="inlineStr">
        <is>
          <t>01:15</t>
        </is>
      </c>
      <c r="D295" s="12" t="inlineStr">
        <is>
          <t>Thursday</t>
        </is>
      </c>
      <c r="E295" s="12" t="n">
        <v>293</v>
      </c>
      <c r="F295" s="27" t="n">
        <v>263700</v>
      </c>
      <c r="G295" s="27" t="n">
        <v>73.25</v>
      </c>
      <c r="H295" s="39" t="n">
        <v>0.675</v>
      </c>
      <c r="I295" s="40">
        <f>H295*0.25</f>
        <v/>
      </c>
      <c r="J295" s="34">
        <f>J294+I295</f>
        <v/>
      </c>
      <c r="K295" s="12" t="inlineStr">
        <is>
          <t>Valid (Smart Meter)</t>
        </is>
      </c>
      <c r="L295" s="28" t="inlineStr">
        <is>
          <t>Night baseload / Heating</t>
        </is>
      </c>
    </row>
    <row r="296">
      <c r="A296" s="12" t="inlineStr">
        <is>
          <t>2025-11-13 01:30:00</t>
        </is>
      </c>
      <c r="B296" s="12" t="inlineStr">
        <is>
          <t>2025-11-13</t>
        </is>
      </c>
      <c r="C296" s="12" t="inlineStr">
        <is>
          <t>01:30</t>
        </is>
      </c>
      <c r="D296" s="12" t="inlineStr">
        <is>
          <t>Thursday</t>
        </is>
      </c>
      <c r="E296" s="12" t="n">
        <v>294</v>
      </c>
      <c r="F296" s="27" t="n">
        <v>264600</v>
      </c>
      <c r="G296" s="27" t="n">
        <v>73.5</v>
      </c>
      <c r="H296" s="39" t="n">
        <v>0.698</v>
      </c>
      <c r="I296" s="40">
        <f>H296*0.25</f>
        <v/>
      </c>
      <c r="J296" s="34">
        <f>J295+I296</f>
        <v/>
      </c>
      <c r="K296" s="12" t="inlineStr">
        <is>
          <t>Valid (Smart Meter)</t>
        </is>
      </c>
      <c r="L296" s="28" t="inlineStr">
        <is>
          <t>Night baseload / Heating</t>
        </is>
      </c>
    </row>
    <row r="297">
      <c r="A297" s="12" t="inlineStr">
        <is>
          <t>2025-11-13 01:45:00</t>
        </is>
      </c>
      <c r="B297" s="12" t="inlineStr">
        <is>
          <t>2025-11-13</t>
        </is>
      </c>
      <c r="C297" s="12" t="inlineStr">
        <is>
          <t>01:45</t>
        </is>
      </c>
      <c r="D297" s="12" t="inlineStr">
        <is>
          <t>Thursday</t>
        </is>
      </c>
      <c r="E297" s="12" t="n">
        <v>295</v>
      </c>
      <c r="F297" s="27" t="n">
        <v>265500</v>
      </c>
      <c r="G297" s="27" t="n">
        <v>73.75</v>
      </c>
      <c r="H297" s="39" t="n">
        <v>0.618</v>
      </c>
      <c r="I297" s="40">
        <f>H297*0.25</f>
        <v/>
      </c>
      <c r="J297" s="34">
        <f>J296+I297</f>
        <v/>
      </c>
      <c r="K297" s="12" t="inlineStr">
        <is>
          <t>Valid (Smart Meter)</t>
        </is>
      </c>
      <c r="L297" s="28" t="inlineStr">
        <is>
          <t>Night baseload / Heating</t>
        </is>
      </c>
    </row>
    <row r="298">
      <c r="A298" s="15" t="inlineStr">
        <is>
          <t>2025-11-13 02:00:00</t>
        </is>
      </c>
      <c r="B298" s="15" t="inlineStr">
        <is>
          <t>2025-11-13</t>
        </is>
      </c>
      <c r="C298" s="15" t="inlineStr">
        <is>
          <t>02:00</t>
        </is>
      </c>
      <c r="D298" s="15" t="inlineStr">
        <is>
          <t>Thursday</t>
        </is>
      </c>
      <c r="E298" s="15" t="n">
        <v>296</v>
      </c>
      <c r="F298" s="25" t="n">
        <v>266400</v>
      </c>
      <c r="G298" s="25" t="n">
        <v>74</v>
      </c>
      <c r="H298" s="37" t="n">
        <v>0.5649999999999999</v>
      </c>
      <c r="I298" s="38">
        <f>H298*0.25</f>
        <v/>
      </c>
      <c r="J298" s="35">
        <f>J297+I298</f>
        <v/>
      </c>
      <c r="K298" s="15" t="inlineStr">
        <is>
          <t>Valid (Smart Meter)</t>
        </is>
      </c>
      <c r="L298" s="26" t="inlineStr">
        <is>
          <t>Night baseload / Heating</t>
        </is>
      </c>
    </row>
    <row r="299">
      <c r="A299" s="15" t="inlineStr">
        <is>
          <t>2025-11-13 02:15:00</t>
        </is>
      </c>
      <c r="B299" s="15" t="inlineStr">
        <is>
          <t>2025-11-13</t>
        </is>
      </c>
      <c r="C299" s="15" t="inlineStr">
        <is>
          <t>02:15</t>
        </is>
      </c>
      <c r="D299" s="15" t="inlineStr">
        <is>
          <t>Thursday</t>
        </is>
      </c>
      <c r="E299" s="15" t="n">
        <v>297</v>
      </c>
      <c r="F299" s="25" t="n">
        <v>267300</v>
      </c>
      <c r="G299" s="25" t="n">
        <v>74.25</v>
      </c>
      <c r="H299" s="37" t="n">
        <v>0.458</v>
      </c>
      <c r="I299" s="38">
        <f>H299*0.25</f>
        <v/>
      </c>
      <c r="J299" s="35">
        <f>J298+I299</f>
        <v/>
      </c>
      <c r="K299" s="15" t="inlineStr">
        <is>
          <t>Valid (Smart Meter)</t>
        </is>
      </c>
      <c r="L299" s="26" t="inlineStr">
        <is>
          <t>Night baseload / Heating</t>
        </is>
      </c>
    </row>
    <row r="300">
      <c r="A300" s="15" t="inlineStr">
        <is>
          <t>2025-11-13 02:30:00</t>
        </is>
      </c>
      <c r="B300" s="15" t="inlineStr">
        <is>
          <t>2025-11-13</t>
        </is>
      </c>
      <c r="C300" s="15" t="inlineStr">
        <is>
          <t>02:30</t>
        </is>
      </c>
      <c r="D300" s="15" t="inlineStr">
        <is>
          <t>Thursday</t>
        </is>
      </c>
      <c r="E300" s="15" t="n">
        <v>298</v>
      </c>
      <c r="F300" s="25" t="n">
        <v>268200</v>
      </c>
      <c r="G300" s="25" t="n">
        <v>74.5</v>
      </c>
      <c r="H300" s="37" t="n">
        <v>0.626</v>
      </c>
      <c r="I300" s="38">
        <f>H300*0.25</f>
        <v/>
      </c>
      <c r="J300" s="35">
        <f>J299+I300</f>
        <v/>
      </c>
      <c r="K300" s="15" t="inlineStr">
        <is>
          <t>Valid (Smart Meter)</t>
        </is>
      </c>
      <c r="L300" s="26" t="inlineStr">
        <is>
          <t>Night baseload / Heating</t>
        </is>
      </c>
    </row>
    <row r="301">
      <c r="A301" s="15" t="inlineStr">
        <is>
          <t>2025-11-13 02:45:00</t>
        </is>
      </c>
      <c r="B301" s="15" t="inlineStr">
        <is>
          <t>2025-11-13</t>
        </is>
      </c>
      <c r="C301" s="15" t="inlineStr">
        <is>
          <t>02:45</t>
        </is>
      </c>
      <c r="D301" s="15" t="inlineStr">
        <is>
          <t>Thursday</t>
        </is>
      </c>
      <c r="E301" s="15" t="n">
        <v>299</v>
      </c>
      <c r="F301" s="25" t="n">
        <v>269100</v>
      </c>
      <c r="G301" s="25" t="n">
        <v>74.75</v>
      </c>
      <c r="H301" s="37" t="n">
        <v>0.443</v>
      </c>
      <c r="I301" s="38">
        <f>H301*0.25</f>
        <v/>
      </c>
      <c r="J301" s="35">
        <f>J300+I301</f>
        <v/>
      </c>
      <c r="K301" s="15" t="inlineStr">
        <is>
          <t>Valid (Smart Meter)</t>
        </is>
      </c>
      <c r="L301" s="26" t="inlineStr">
        <is>
          <t>Night baseload / Heating</t>
        </is>
      </c>
    </row>
    <row r="302">
      <c r="A302" s="12" t="inlineStr">
        <is>
          <t>2025-11-13 03:00:00</t>
        </is>
      </c>
      <c r="B302" s="12" t="inlineStr">
        <is>
          <t>2025-11-13</t>
        </is>
      </c>
      <c r="C302" s="12" t="inlineStr">
        <is>
          <t>03:00</t>
        </is>
      </c>
      <c r="D302" s="12" t="inlineStr">
        <is>
          <t>Thursday</t>
        </is>
      </c>
      <c r="E302" s="12" t="n">
        <v>300</v>
      </c>
      <c r="F302" s="27" t="n">
        <v>270000</v>
      </c>
      <c r="G302" s="27" t="n">
        <v>75</v>
      </c>
      <c r="H302" s="39" t="n">
        <v>0.476</v>
      </c>
      <c r="I302" s="40">
        <f>H302*0.25</f>
        <v/>
      </c>
      <c r="J302" s="34">
        <f>J301+I302</f>
        <v/>
      </c>
      <c r="K302" s="12" t="inlineStr">
        <is>
          <t>Valid (Smart Meter)</t>
        </is>
      </c>
      <c r="L302" s="28" t="inlineStr">
        <is>
          <t>Night baseload / Heating</t>
        </is>
      </c>
    </row>
    <row r="303">
      <c r="A303" s="12" t="inlineStr">
        <is>
          <t>2025-11-13 03:15:00</t>
        </is>
      </c>
      <c r="B303" s="12" t="inlineStr">
        <is>
          <t>2025-11-13</t>
        </is>
      </c>
      <c r="C303" s="12" t="inlineStr">
        <is>
          <t>03:15</t>
        </is>
      </c>
      <c r="D303" s="12" t="inlineStr">
        <is>
          <t>Thursday</t>
        </is>
      </c>
      <c r="E303" s="12" t="n">
        <v>301</v>
      </c>
      <c r="F303" s="27" t="n">
        <v>270900</v>
      </c>
      <c r="G303" s="27" t="n">
        <v>75.25</v>
      </c>
      <c r="H303" s="39" t="n">
        <v>0.429</v>
      </c>
      <c r="I303" s="40">
        <f>H303*0.25</f>
        <v/>
      </c>
      <c r="J303" s="34">
        <f>J302+I303</f>
        <v/>
      </c>
      <c r="K303" s="12" t="inlineStr">
        <is>
          <t>Valid (Smart Meter)</t>
        </is>
      </c>
      <c r="L303" s="28" t="inlineStr">
        <is>
          <t>Night baseload / Heating</t>
        </is>
      </c>
    </row>
    <row r="304">
      <c r="A304" s="12" t="inlineStr">
        <is>
          <t>2025-11-13 03:30:00</t>
        </is>
      </c>
      <c r="B304" s="12" t="inlineStr">
        <is>
          <t>2025-11-13</t>
        </is>
      </c>
      <c r="C304" s="12" t="inlineStr">
        <is>
          <t>03:30</t>
        </is>
      </c>
      <c r="D304" s="12" t="inlineStr">
        <is>
          <t>Thursday</t>
        </is>
      </c>
      <c r="E304" s="12" t="n">
        <v>302</v>
      </c>
      <c r="F304" s="27" t="n">
        <v>271800</v>
      </c>
      <c r="G304" s="27" t="n">
        <v>75.5</v>
      </c>
      <c r="H304" s="39" t="n">
        <v>0.447</v>
      </c>
      <c r="I304" s="40">
        <f>H304*0.25</f>
        <v/>
      </c>
      <c r="J304" s="34">
        <f>J303+I304</f>
        <v/>
      </c>
      <c r="K304" s="12" t="inlineStr">
        <is>
          <t>Valid (Smart Meter)</t>
        </is>
      </c>
      <c r="L304" s="28" t="inlineStr">
        <is>
          <t>Night baseload / Heating</t>
        </is>
      </c>
    </row>
    <row r="305">
      <c r="A305" s="12" t="inlineStr">
        <is>
          <t>2025-11-13 03:45:00</t>
        </is>
      </c>
      <c r="B305" s="12" t="inlineStr">
        <is>
          <t>2025-11-13</t>
        </is>
      </c>
      <c r="C305" s="12" t="inlineStr">
        <is>
          <t>03:45</t>
        </is>
      </c>
      <c r="D305" s="12" t="inlineStr">
        <is>
          <t>Thursday</t>
        </is>
      </c>
      <c r="E305" s="12" t="n">
        <v>303</v>
      </c>
      <c r="F305" s="27" t="n">
        <v>272700</v>
      </c>
      <c r="G305" s="27" t="n">
        <v>75.75</v>
      </c>
      <c r="H305" s="39" t="n">
        <v>0.476</v>
      </c>
      <c r="I305" s="40">
        <f>H305*0.25</f>
        <v/>
      </c>
      <c r="J305" s="34">
        <f>J304+I305</f>
        <v/>
      </c>
      <c r="K305" s="12" t="inlineStr">
        <is>
          <t>Valid (Smart Meter)</t>
        </is>
      </c>
      <c r="L305" s="28" t="inlineStr">
        <is>
          <t>Night baseload / Heating</t>
        </is>
      </c>
    </row>
    <row r="306">
      <c r="A306" s="15" t="inlineStr">
        <is>
          <t>2025-11-13 04:00:00</t>
        </is>
      </c>
      <c r="B306" s="15" t="inlineStr">
        <is>
          <t>2025-11-13</t>
        </is>
      </c>
      <c r="C306" s="15" t="inlineStr">
        <is>
          <t>04:00</t>
        </is>
      </c>
      <c r="D306" s="15" t="inlineStr">
        <is>
          <t>Thursday</t>
        </is>
      </c>
      <c r="E306" s="15" t="n">
        <v>304</v>
      </c>
      <c r="F306" s="25" t="n">
        <v>273600</v>
      </c>
      <c r="G306" s="25" t="n">
        <v>76</v>
      </c>
      <c r="H306" s="37" t="n">
        <v>0.493</v>
      </c>
      <c r="I306" s="38">
        <f>H306*0.25</f>
        <v/>
      </c>
      <c r="J306" s="35">
        <f>J305+I306</f>
        <v/>
      </c>
      <c r="K306" s="15" t="inlineStr">
        <is>
          <t>Valid (Smart Meter)</t>
        </is>
      </c>
      <c r="L306" s="26" t="inlineStr">
        <is>
          <t>Night baseload / Heating</t>
        </is>
      </c>
    </row>
    <row r="307">
      <c r="A307" s="15" t="inlineStr">
        <is>
          <t>2025-11-13 04:15:00</t>
        </is>
      </c>
      <c r="B307" s="15" t="inlineStr">
        <is>
          <t>2025-11-13</t>
        </is>
      </c>
      <c r="C307" s="15" t="inlineStr">
        <is>
          <t>04:15</t>
        </is>
      </c>
      <c r="D307" s="15" t="inlineStr">
        <is>
          <t>Thursday</t>
        </is>
      </c>
      <c r="E307" s="15" t="n">
        <v>305</v>
      </c>
      <c r="F307" s="25" t="n">
        <v>274500</v>
      </c>
      <c r="G307" s="25" t="n">
        <v>76.25</v>
      </c>
      <c r="H307" s="37" t="n">
        <v>0.631</v>
      </c>
      <c r="I307" s="38">
        <f>H307*0.25</f>
        <v/>
      </c>
      <c r="J307" s="35">
        <f>J306+I307</f>
        <v/>
      </c>
      <c r="K307" s="15" t="inlineStr">
        <is>
          <t>Valid (Smart Meter)</t>
        </is>
      </c>
      <c r="L307" s="26" t="inlineStr">
        <is>
          <t>Night baseload / Heating</t>
        </is>
      </c>
    </row>
    <row r="308">
      <c r="A308" s="15" t="inlineStr">
        <is>
          <t>2025-11-13 04:30:00</t>
        </is>
      </c>
      <c r="B308" s="15" t="inlineStr">
        <is>
          <t>2025-11-13</t>
        </is>
      </c>
      <c r="C308" s="15" t="inlineStr">
        <is>
          <t>04:30</t>
        </is>
      </c>
      <c r="D308" s="15" t="inlineStr">
        <is>
          <t>Thursday</t>
        </is>
      </c>
      <c r="E308" s="15" t="n">
        <v>306</v>
      </c>
      <c r="F308" s="25" t="n">
        <v>275400</v>
      </c>
      <c r="G308" s="25" t="n">
        <v>76.5</v>
      </c>
      <c r="H308" s="37" t="n">
        <v>0.655</v>
      </c>
      <c r="I308" s="38">
        <f>H308*0.25</f>
        <v/>
      </c>
      <c r="J308" s="35">
        <f>J307+I308</f>
        <v/>
      </c>
      <c r="K308" s="15" t="inlineStr">
        <is>
          <t>Valid (Smart Meter)</t>
        </is>
      </c>
      <c r="L308" s="26" t="inlineStr">
        <is>
          <t>Night baseload / Heating</t>
        </is>
      </c>
    </row>
    <row r="309">
      <c r="A309" s="15" t="inlineStr">
        <is>
          <t>2025-11-13 04:45:00</t>
        </is>
      </c>
      <c r="B309" s="15" t="inlineStr">
        <is>
          <t>2025-11-13</t>
        </is>
      </c>
      <c r="C309" s="15" t="inlineStr">
        <is>
          <t>04:45</t>
        </is>
      </c>
      <c r="D309" s="15" t="inlineStr">
        <is>
          <t>Thursday</t>
        </is>
      </c>
      <c r="E309" s="15" t="n">
        <v>307</v>
      </c>
      <c r="F309" s="25" t="n">
        <v>276300</v>
      </c>
      <c r="G309" s="25" t="n">
        <v>76.75</v>
      </c>
      <c r="H309" s="37" t="n">
        <v>0.538</v>
      </c>
      <c r="I309" s="38">
        <f>H309*0.25</f>
        <v/>
      </c>
      <c r="J309" s="35">
        <f>J308+I309</f>
        <v/>
      </c>
      <c r="K309" s="15" t="inlineStr">
        <is>
          <t>Valid (Smart Meter)</t>
        </is>
      </c>
      <c r="L309" s="26" t="inlineStr">
        <is>
          <t>Night baseload / Heating</t>
        </is>
      </c>
    </row>
    <row r="310">
      <c r="A310" s="12" t="inlineStr">
        <is>
          <t>2025-11-13 05:00:00</t>
        </is>
      </c>
      <c r="B310" s="12" t="inlineStr">
        <is>
          <t>2025-11-13</t>
        </is>
      </c>
      <c r="C310" s="12" t="inlineStr">
        <is>
          <t>05:00</t>
        </is>
      </c>
      <c r="D310" s="12" t="inlineStr">
        <is>
          <t>Thursday</t>
        </is>
      </c>
      <c r="E310" s="12" t="n">
        <v>308</v>
      </c>
      <c r="F310" s="27" t="n">
        <v>277200</v>
      </c>
      <c r="G310" s="27" t="n">
        <v>77</v>
      </c>
      <c r="H310" s="39" t="n">
        <v>0.59</v>
      </c>
      <c r="I310" s="40">
        <f>H310*0.25</f>
        <v/>
      </c>
      <c r="J310" s="34">
        <f>J309+I310</f>
        <v/>
      </c>
      <c r="K310" s="12" t="inlineStr">
        <is>
          <t>Valid (Smart Meter)</t>
        </is>
      </c>
      <c r="L310" s="28" t="inlineStr">
        <is>
          <t>Night baseload / Heating</t>
        </is>
      </c>
    </row>
    <row r="311">
      <c r="A311" s="12" t="inlineStr">
        <is>
          <t>2025-11-13 05:15:00</t>
        </is>
      </c>
      <c r="B311" s="12" t="inlineStr">
        <is>
          <t>2025-11-13</t>
        </is>
      </c>
      <c r="C311" s="12" t="inlineStr">
        <is>
          <t>05:15</t>
        </is>
      </c>
      <c r="D311" s="12" t="inlineStr">
        <is>
          <t>Thursday</t>
        </is>
      </c>
      <c r="E311" s="12" t="n">
        <v>309</v>
      </c>
      <c r="F311" s="27" t="n">
        <v>278100</v>
      </c>
      <c r="G311" s="27" t="n">
        <v>77.25</v>
      </c>
      <c r="H311" s="39" t="n">
        <v>0.653</v>
      </c>
      <c r="I311" s="40">
        <f>H311*0.25</f>
        <v/>
      </c>
      <c r="J311" s="34">
        <f>J310+I311</f>
        <v/>
      </c>
      <c r="K311" s="12" t="inlineStr">
        <is>
          <t>Valid (Smart Meter)</t>
        </is>
      </c>
      <c r="L311" s="28" t="inlineStr">
        <is>
          <t>Night baseload / Heating</t>
        </is>
      </c>
    </row>
    <row r="312">
      <c r="A312" s="12" t="inlineStr">
        <is>
          <t>2025-11-13 05:30:00</t>
        </is>
      </c>
      <c r="B312" s="12" t="inlineStr">
        <is>
          <t>2025-11-13</t>
        </is>
      </c>
      <c r="C312" s="12" t="inlineStr">
        <is>
          <t>05:30</t>
        </is>
      </c>
      <c r="D312" s="12" t="inlineStr">
        <is>
          <t>Thursday</t>
        </is>
      </c>
      <c r="E312" s="12" t="n">
        <v>310</v>
      </c>
      <c r="F312" s="27" t="n">
        <v>279000</v>
      </c>
      <c r="G312" s="27" t="n">
        <v>77.5</v>
      </c>
      <c r="H312" s="39" t="n">
        <v>0.704</v>
      </c>
      <c r="I312" s="40">
        <f>H312*0.25</f>
        <v/>
      </c>
      <c r="J312" s="34">
        <f>J311+I312</f>
        <v/>
      </c>
      <c r="K312" s="12" t="inlineStr">
        <is>
          <t>Valid (Smart Meter)</t>
        </is>
      </c>
      <c r="L312" s="28" t="inlineStr">
        <is>
          <t>Night baseload / Heating</t>
        </is>
      </c>
    </row>
    <row r="313">
      <c r="A313" s="12" t="inlineStr">
        <is>
          <t>2025-11-13 05:45:00</t>
        </is>
      </c>
      <c r="B313" s="12" t="inlineStr">
        <is>
          <t>2025-11-13</t>
        </is>
      </c>
      <c r="C313" s="12" t="inlineStr">
        <is>
          <t>05:45</t>
        </is>
      </c>
      <c r="D313" s="12" t="inlineStr">
        <is>
          <t>Thursday</t>
        </is>
      </c>
      <c r="E313" s="12" t="n">
        <v>311</v>
      </c>
      <c r="F313" s="27" t="n">
        <v>279900</v>
      </c>
      <c r="G313" s="27" t="n">
        <v>77.75</v>
      </c>
      <c r="H313" s="39" t="n">
        <v>0.679</v>
      </c>
      <c r="I313" s="40">
        <f>H313*0.25</f>
        <v/>
      </c>
      <c r="J313" s="34">
        <f>J312+I313</f>
        <v/>
      </c>
      <c r="K313" s="12" t="inlineStr">
        <is>
          <t>Valid (Smart Meter)</t>
        </is>
      </c>
      <c r="L313" s="28" t="inlineStr">
        <is>
          <t>Night baseload / Heating</t>
        </is>
      </c>
    </row>
    <row r="314">
      <c r="A314" s="15" t="inlineStr">
        <is>
          <t>2025-11-13 06:00:00</t>
        </is>
      </c>
      <c r="B314" s="15" t="inlineStr">
        <is>
          <t>2025-11-13</t>
        </is>
      </c>
      <c r="C314" s="15" t="inlineStr">
        <is>
          <t>06:00</t>
        </is>
      </c>
      <c r="D314" s="15" t="inlineStr">
        <is>
          <t>Thursday</t>
        </is>
      </c>
      <c r="E314" s="15" t="n">
        <v>312</v>
      </c>
      <c r="F314" s="25" t="n">
        <v>280800</v>
      </c>
      <c r="G314" s="25" t="n">
        <v>78</v>
      </c>
      <c r="H314" s="37" t="n">
        <v>0.643</v>
      </c>
      <c r="I314" s="38">
        <f>H314*0.25</f>
        <v/>
      </c>
      <c r="J314" s="35">
        <f>J313+I314</f>
        <v/>
      </c>
      <c r="K314" s="15" t="inlineStr">
        <is>
          <t>Valid (Smart Meter)</t>
        </is>
      </c>
      <c r="L314" s="26" t="inlineStr">
        <is>
          <t>Night baseload / Heating</t>
        </is>
      </c>
    </row>
    <row r="315">
      <c r="A315" s="15" t="inlineStr">
        <is>
          <t>2025-11-13 06:15:00</t>
        </is>
      </c>
      <c r="B315" s="15" t="inlineStr">
        <is>
          <t>2025-11-13</t>
        </is>
      </c>
      <c r="C315" s="15" t="inlineStr">
        <is>
          <t>06:15</t>
        </is>
      </c>
      <c r="D315" s="15" t="inlineStr">
        <is>
          <t>Thursday</t>
        </is>
      </c>
      <c r="E315" s="15" t="n">
        <v>313</v>
      </c>
      <c r="F315" s="25" t="n">
        <v>281700</v>
      </c>
      <c r="G315" s="25" t="n">
        <v>78.25</v>
      </c>
      <c r="H315" s="37" t="n">
        <v>0.525</v>
      </c>
      <c r="I315" s="38">
        <f>H315*0.25</f>
        <v/>
      </c>
      <c r="J315" s="35">
        <f>J314+I315</f>
        <v/>
      </c>
      <c r="K315" s="15" t="inlineStr">
        <is>
          <t>Valid (Smart Meter)</t>
        </is>
      </c>
      <c r="L315" s="26" t="inlineStr">
        <is>
          <t>Night baseload / Heating</t>
        </is>
      </c>
    </row>
    <row r="316">
      <c r="A316" s="15" t="inlineStr">
        <is>
          <t>2025-11-13 06:30:00</t>
        </is>
      </c>
      <c r="B316" s="15" t="inlineStr">
        <is>
          <t>2025-11-13</t>
        </is>
      </c>
      <c r="C316" s="15" t="inlineStr">
        <is>
          <t>06:30</t>
        </is>
      </c>
      <c r="D316" s="15" t="inlineStr">
        <is>
          <t>Thursday</t>
        </is>
      </c>
      <c r="E316" s="15" t="n">
        <v>314</v>
      </c>
      <c r="F316" s="25" t="n">
        <v>282600</v>
      </c>
      <c r="G316" s="25" t="n">
        <v>78.5</v>
      </c>
      <c r="H316" s="37" t="n">
        <v>1.703</v>
      </c>
      <c r="I316" s="38">
        <f>H316*0.25</f>
        <v/>
      </c>
      <c r="J316" s="35">
        <f>J315+I316</f>
        <v/>
      </c>
      <c r="K316" s="15" t="inlineStr">
        <is>
          <t>Valid (Smart Meter)</t>
        </is>
      </c>
      <c r="L316" s="26" t="inlineStr">
        <is>
          <t>Morning routine (Kettle/Toaster/Lighting)</t>
        </is>
      </c>
    </row>
    <row r="317">
      <c r="A317" s="15" t="inlineStr">
        <is>
          <t>2025-11-13 06:45:00</t>
        </is>
      </c>
      <c r="B317" s="15" t="inlineStr">
        <is>
          <t>2025-11-13</t>
        </is>
      </c>
      <c r="C317" s="15" t="inlineStr">
        <is>
          <t>06:45</t>
        </is>
      </c>
      <c r="D317" s="15" t="inlineStr">
        <is>
          <t>Thursday</t>
        </is>
      </c>
      <c r="E317" s="15" t="n">
        <v>315</v>
      </c>
      <c r="F317" s="25" t="n">
        <v>283500</v>
      </c>
      <c r="G317" s="25" t="n">
        <v>78.75</v>
      </c>
      <c r="H317" s="37" t="n">
        <v>1.412</v>
      </c>
      <c r="I317" s="38">
        <f>H317*0.25</f>
        <v/>
      </c>
      <c r="J317" s="35">
        <f>J316+I317</f>
        <v/>
      </c>
      <c r="K317" s="15" t="inlineStr">
        <is>
          <t>Valid (Smart Meter)</t>
        </is>
      </c>
      <c r="L317" s="26" t="inlineStr">
        <is>
          <t>Morning routine (Kettle/Toaster/Lighting)</t>
        </is>
      </c>
    </row>
    <row r="318">
      <c r="A318" s="12" t="inlineStr">
        <is>
          <t>2025-11-13 07:00:00</t>
        </is>
      </c>
      <c r="B318" s="12" t="inlineStr">
        <is>
          <t>2025-11-13</t>
        </is>
      </c>
      <c r="C318" s="12" t="inlineStr">
        <is>
          <t>07:00</t>
        </is>
      </c>
      <c r="D318" s="12" t="inlineStr">
        <is>
          <t>Thursday</t>
        </is>
      </c>
      <c r="E318" s="12" t="n">
        <v>316</v>
      </c>
      <c r="F318" s="27" t="n">
        <v>284400</v>
      </c>
      <c r="G318" s="27" t="n">
        <v>79</v>
      </c>
      <c r="H318" s="39" t="n">
        <v>3.277</v>
      </c>
      <c r="I318" s="40">
        <f>H318*0.25</f>
        <v/>
      </c>
      <c r="J318" s="34">
        <f>J317+I318</f>
        <v/>
      </c>
      <c r="K318" s="12" t="inlineStr">
        <is>
          <t>Valid (Smart Meter)</t>
        </is>
      </c>
      <c r="L318" s="28" t="inlineStr">
        <is>
          <t>Breakfast &amp; Water heater cycle</t>
        </is>
      </c>
    </row>
    <row r="319">
      <c r="A319" s="12" t="inlineStr">
        <is>
          <t>2025-11-13 07:15:00</t>
        </is>
      </c>
      <c r="B319" s="12" t="inlineStr">
        <is>
          <t>2025-11-13</t>
        </is>
      </c>
      <c r="C319" s="12" t="inlineStr">
        <is>
          <t>07:15</t>
        </is>
      </c>
      <c r="D319" s="12" t="inlineStr">
        <is>
          <t>Thursday</t>
        </is>
      </c>
      <c r="E319" s="12" t="n">
        <v>317</v>
      </c>
      <c r="F319" s="27" t="n">
        <v>285300</v>
      </c>
      <c r="G319" s="27" t="n">
        <v>79.25</v>
      </c>
      <c r="H319" s="39" t="n">
        <v>3.032</v>
      </c>
      <c r="I319" s="40">
        <f>H319*0.25</f>
        <v/>
      </c>
      <c r="J319" s="34">
        <f>J318+I319</f>
        <v/>
      </c>
      <c r="K319" s="12" t="inlineStr">
        <is>
          <t>Valid (Smart Meter)</t>
        </is>
      </c>
      <c r="L319" s="28" t="inlineStr">
        <is>
          <t>Breakfast &amp; Water heater cycle</t>
        </is>
      </c>
    </row>
    <row r="320">
      <c r="A320" s="12" t="inlineStr">
        <is>
          <t>2025-11-13 07:30:00</t>
        </is>
      </c>
      <c r="B320" s="12" t="inlineStr">
        <is>
          <t>2025-11-13</t>
        </is>
      </c>
      <c r="C320" s="12" t="inlineStr">
        <is>
          <t>07:30</t>
        </is>
      </c>
      <c r="D320" s="12" t="inlineStr">
        <is>
          <t>Thursday</t>
        </is>
      </c>
      <c r="E320" s="12" t="n">
        <v>318</v>
      </c>
      <c r="F320" s="27" t="n">
        <v>286200</v>
      </c>
      <c r="G320" s="27" t="n">
        <v>79.5</v>
      </c>
      <c r="H320" s="39" t="n">
        <v>2.89</v>
      </c>
      <c r="I320" s="40">
        <f>H320*0.25</f>
        <v/>
      </c>
      <c r="J320" s="34">
        <f>J319+I320</f>
        <v/>
      </c>
      <c r="K320" s="12" t="inlineStr">
        <is>
          <t>Valid (Smart Meter)</t>
        </is>
      </c>
      <c r="L320" s="28" t="inlineStr">
        <is>
          <t>Breakfast &amp; Water heater cycle</t>
        </is>
      </c>
    </row>
    <row r="321">
      <c r="A321" s="12" t="inlineStr">
        <is>
          <t>2025-11-13 07:45:00</t>
        </is>
      </c>
      <c r="B321" s="12" t="inlineStr">
        <is>
          <t>2025-11-13</t>
        </is>
      </c>
      <c r="C321" s="12" t="inlineStr">
        <is>
          <t>07:45</t>
        </is>
      </c>
      <c r="D321" s="12" t="inlineStr">
        <is>
          <t>Thursday</t>
        </is>
      </c>
      <c r="E321" s="12" t="n">
        <v>319</v>
      </c>
      <c r="F321" s="27" t="n">
        <v>287100</v>
      </c>
      <c r="G321" s="27" t="n">
        <v>79.75</v>
      </c>
      <c r="H321" s="39" t="n">
        <v>1.537</v>
      </c>
      <c r="I321" s="40">
        <f>H321*0.25</f>
        <v/>
      </c>
      <c r="J321" s="34">
        <f>J320+I321</f>
        <v/>
      </c>
      <c r="K321" s="12" t="inlineStr">
        <is>
          <t>Valid (Smart Meter)</t>
        </is>
      </c>
      <c r="L321" s="28" t="inlineStr">
        <is>
          <t>Morning routine (Kettle/Toaster/Lighting)</t>
        </is>
      </c>
    </row>
    <row r="322">
      <c r="A322" s="15" t="inlineStr">
        <is>
          <t>2025-11-13 08:00:00</t>
        </is>
      </c>
      <c r="B322" s="15" t="inlineStr">
        <is>
          <t>2025-11-13</t>
        </is>
      </c>
      <c r="C322" s="15" t="inlineStr">
        <is>
          <t>08:00</t>
        </is>
      </c>
      <c r="D322" s="15" t="inlineStr">
        <is>
          <t>Thursday</t>
        </is>
      </c>
      <c r="E322" s="15" t="n">
        <v>320</v>
      </c>
      <c r="F322" s="25" t="n">
        <v>288000</v>
      </c>
      <c r="G322" s="25" t="n">
        <v>80</v>
      </c>
      <c r="H322" s="37" t="n">
        <v>1.422</v>
      </c>
      <c r="I322" s="38">
        <f>H322*0.25</f>
        <v/>
      </c>
      <c r="J322" s="35">
        <f>J321+I322</f>
        <v/>
      </c>
      <c r="K322" s="15" t="inlineStr">
        <is>
          <t>Valid (Smart Meter)</t>
        </is>
      </c>
      <c r="L322" s="26" t="inlineStr">
        <is>
          <t>Morning routine (Kettle/Toaster/Lighting)</t>
        </is>
      </c>
    </row>
    <row r="323">
      <c r="A323" s="15" t="inlineStr">
        <is>
          <t>2025-11-13 08:15:00</t>
        </is>
      </c>
      <c r="B323" s="15" t="inlineStr">
        <is>
          <t>2025-11-13</t>
        </is>
      </c>
      <c r="C323" s="15" t="inlineStr">
        <is>
          <t>08:15</t>
        </is>
      </c>
      <c r="D323" s="15" t="inlineStr">
        <is>
          <t>Thursday</t>
        </is>
      </c>
      <c r="E323" s="15" t="n">
        <v>321</v>
      </c>
      <c r="F323" s="25" t="n">
        <v>288900</v>
      </c>
      <c r="G323" s="25" t="n">
        <v>80.25</v>
      </c>
      <c r="H323" s="37" t="n">
        <v>1.367</v>
      </c>
      <c r="I323" s="38">
        <f>H323*0.25</f>
        <v/>
      </c>
      <c r="J323" s="35">
        <f>J322+I323</f>
        <v/>
      </c>
      <c r="K323" s="15" t="inlineStr">
        <is>
          <t>Valid (Smart Meter)</t>
        </is>
      </c>
      <c r="L323" s="26" t="inlineStr">
        <is>
          <t>Morning routine (Kettle/Toaster/Lighting)</t>
        </is>
      </c>
    </row>
    <row r="324">
      <c r="A324" s="15" t="inlineStr">
        <is>
          <t>2025-11-13 08:30:00</t>
        </is>
      </c>
      <c r="B324" s="15" t="inlineStr">
        <is>
          <t>2025-11-13</t>
        </is>
      </c>
      <c r="C324" s="15" t="inlineStr">
        <is>
          <t>08:30</t>
        </is>
      </c>
      <c r="D324" s="15" t="inlineStr">
        <is>
          <t>Thursday</t>
        </is>
      </c>
      <c r="E324" s="15" t="n">
        <v>322</v>
      </c>
      <c r="F324" s="25" t="n">
        <v>289800</v>
      </c>
      <c r="G324" s="25" t="n">
        <v>80.5</v>
      </c>
      <c r="H324" s="37" t="n">
        <v>1.397</v>
      </c>
      <c r="I324" s="38">
        <f>H324*0.25</f>
        <v/>
      </c>
      <c r="J324" s="35">
        <f>J323+I324</f>
        <v/>
      </c>
      <c r="K324" s="15" t="inlineStr">
        <is>
          <t>Valid (Smart Meter)</t>
        </is>
      </c>
      <c r="L324" s="26" t="inlineStr">
        <is>
          <t>Morning routine (Kettle/Toaster/Lighting)</t>
        </is>
      </c>
    </row>
    <row r="325">
      <c r="A325" s="15" t="inlineStr">
        <is>
          <t>2025-11-13 08:45:00</t>
        </is>
      </c>
      <c r="B325" s="15" t="inlineStr">
        <is>
          <t>2025-11-13</t>
        </is>
      </c>
      <c r="C325" s="15" t="inlineStr">
        <is>
          <t>08:45</t>
        </is>
      </c>
      <c r="D325" s="15" t="inlineStr">
        <is>
          <t>Thursday</t>
        </is>
      </c>
      <c r="E325" s="15" t="n">
        <v>323</v>
      </c>
      <c r="F325" s="25" t="n">
        <v>290700</v>
      </c>
      <c r="G325" s="25" t="n">
        <v>80.75</v>
      </c>
      <c r="H325" s="37" t="n">
        <v>0.765</v>
      </c>
      <c r="I325" s="38">
        <f>H325*0.25</f>
        <v/>
      </c>
      <c r="J325" s="35">
        <f>J324+I325</f>
        <v/>
      </c>
      <c r="K325" s="15" t="inlineStr">
        <is>
          <t>Valid (Smart Meter)</t>
        </is>
      </c>
      <c r="L325" s="26" t="inlineStr">
        <is>
          <t>Daytime low activity / Home office</t>
        </is>
      </c>
    </row>
    <row r="326">
      <c r="A326" s="12" t="inlineStr">
        <is>
          <t>2025-11-13 09:00:00</t>
        </is>
      </c>
      <c r="B326" s="12" t="inlineStr">
        <is>
          <t>2025-11-13</t>
        </is>
      </c>
      <c r="C326" s="12" t="inlineStr">
        <is>
          <t>09:00</t>
        </is>
      </c>
      <c r="D326" s="12" t="inlineStr">
        <is>
          <t>Thursday</t>
        </is>
      </c>
      <c r="E326" s="12" t="n">
        <v>324</v>
      </c>
      <c r="F326" s="27" t="n">
        <v>291600</v>
      </c>
      <c r="G326" s="27" t="n">
        <v>81</v>
      </c>
      <c r="H326" s="39" t="n">
        <v>0.66</v>
      </c>
      <c r="I326" s="40">
        <f>H326*0.25</f>
        <v/>
      </c>
      <c r="J326" s="34">
        <f>J325+I326</f>
        <v/>
      </c>
      <c r="K326" s="12" t="inlineStr">
        <is>
          <t>Valid (Smart Meter)</t>
        </is>
      </c>
      <c r="L326" s="28" t="inlineStr">
        <is>
          <t>Daytime low activity / Home office</t>
        </is>
      </c>
    </row>
    <row r="327">
      <c r="A327" s="12" t="inlineStr">
        <is>
          <t>2025-11-13 09:15:00</t>
        </is>
      </c>
      <c r="B327" s="12" t="inlineStr">
        <is>
          <t>2025-11-13</t>
        </is>
      </c>
      <c r="C327" s="12" t="inlineStr">
        <is>
          <t>09:15</t>
        </is>
      </c>
      <c r="D327" s="12" t="inlineStr">
        <is>
          <t>Thursday</t>
        </is>
      </c>
      <c r="E327" s="12" t="n">
        <v>325</v>
      </c>
      <c r="F327" s="27" t="n">
        <v>292500</v>
      </c>
      <c r="G327" s="27" t="n">
        <v>81.25</v>
      </c>
      <c r="H327" s="39" t="n">
        <v>0.797</v>
      </c>
      <c r="I327" s="40">
        <f>H327*0.25</f>
        <v/>
      </c>
      <c r="J327" s="34">
        <f>J326+I327</f>
        <v/>
      </c>
      <c r="K327" s="12" t="inlineStr">
        <is>
          <t>Valid (Smart Meter)</t>
        </is>
      </c>
      <c r="L327" s="28" t="inlineStr">
        <is>
          <t>Daytime low activity / Home office</t>
        </is>
      </c>
    </row>
    <row r="328">
      <c r="A328" s="12" t="inlineStr">
        <is>
          <t>2025-11-13 09:30:00</t>
        </is>
      </c>
      <c r="B328" s="12" t="inlineStr">
        <is>
          <t>2025-11-13</t>
        </is>
      </c>
      <c r="C328" s="12" t="inlineStr">
        <is>
          <t>09:30</t>
        </is>
      </c>
      <c r="D328" s="12" t="inlineStr">
        <is>
          <t>Thursday</t>
        </is>
      </c>
      <c r="E328" s="12" t="n">
        <v>326</v>
      </c>
      <c r="F328" s="27" t="n">
        <v>293400</v>
      </c>
      <c r="G328" s="27" t="n">
        <v>81.5</v>
      </c>
      <c r="H328" s="39" t="n">
        <v>0.676</v>
      </c>
      <c r="I328" s="40">
        <f>H328*0.25</f>
        <v/>
      </c>
      <c r="J328" s="34">
        <f>J327+I328</f>
        <v/>
      </c>
      <c r="K328" s="12" t="inlineStr">
        <is>
          <t>Valid (Smart Meter)</t>
        </is>
      </c>
      <c r="L328" s="28" t="inlineStr">
        <is>
          <t>Daytime low activity / Home office</t>
        </is>
      </c>
    </row>
    <row r="329">
      <c r="A329" s="12" t="inlineStr">
        <is>
          <t>2025-11-13 09:45:00</t>
        </is>
      </c>
      <c r="B329" s="12" t="inlineStr">
        <is>
          <t>2025-11-13</t>
        </is>
      </c>
      <c r="C329" s="12" t="inlineStr">
        <is>
          <t>09:45</t>
        </is>
      </c>
      <c r="D329" s="12" t="inlineStr">
        <is>
          <t>Thursday</t>
        </is>
      </c>
      <c r="E329" s="12" t="n">
        <v>327</v>
      </c>
      <c r="F329" s="27" t="n">
        <v>294300</v>
      </c>
      <c r="G329" s="27" t="n">
        <v>81.75</v>
      </c>
      <c r="H329" s="39" t="n">
        <v>0.646</v>
      </c>
      <c r="I329" s="40">
        <f>H329*0.25</f>
        <v/>
      </c>
      <c r="J329" s="34">
        <f>J328+I329</f>
        <v/>
      </c>
      <c r="K329" s="12" t="inlineStr">
        <is>
          <t>Valid (Smart Meter)</t>
        </is>
      </c>
      <c r="L329" s="28" t="inlineStr">
        <is>
          <t>Daytime low activity / Home office</t>
        </is>
      </c>
    </row>
    <row r="330">
      <c r="A330" s="15" t="inlineStr">
        <is>
          <t>2025-11-13 10:00:00</t>
        </is>
      </c>
      <c r="B330" s="15" t="inlineStr">
        <is>
          <t>2025-11-13</t>
        </is>
      </c>
      <c r="C330" s="15" t="inlineStr">
        <is>
          <t>10:00</t>
        </is>
      </c>
      <c r="D330" s="15" t="inlineStr">
        <is>
          <t>Thursday</t>
        </is>
      </c>
      <c r="E330" s="15" t="n">
        <v>328</v>
      </c>
      <c r="F330" s="25" t="n">
        <v>295200</v>
      </c>
      <c r="G330" s="25" t="n">
        <v>82</v>
      </c>
      <c r="H330" s="37" t="n">
        <v>0.754</v>
      </c>
      <c r="I330" s="38">
        <f>H330*0.25</f>
        <v/>
      </c>
      <c r="J330" s="35">
        <f>J329+I330</f>
        <v/>
      </c>
      <c r="K330" s="15" t="inlineStr">
        <is>
          <t>Valid (Smart Meter)</t>
        </is>
      </c>
      <c r="L330" s="26" t="inlineStr">
        <is>
          <t>Daytime low activity / Home office</t>
        </is>
      </c>
    </row>
    <row r="331">
      <c r="A331" s="15" t="inlineStr">
        <is>
          <t>2025-11-13 10:15:00</t>
        </is>
      </c>
      <c r="B331" s="15" t="inlineStr">
        <is>
          <t>2025-11-13</t>
        </is>
      </c>
      <c r="C331" s="15" t="inlineStr">
        <is>
          <t>10:15</t>
        </is>
      </c>
      <c r="D331" s="15" t="inlineStr">
        <is>
          <t>Thursday</t>
        </is>
      </c>
      <c r="E331" s="15" t="n">
        <v>329</v>
      </c>
      <c r="F331" s="25" t="n">
        <v>296100</v>
      </c>
      <c r="G331" s="25" t="n">
        <v>82.25</v>
      </c>
      <c r="H331" s="37" t="n">
        <v>0.719</v>
      </c>
      <c r="I331" s="38">
        <f>H331*0.25</f>
        <v/>
      </c>
      <c r="J331" s="35">
        <f>J330+I331</f>
        <v/>
      </c>
      <c r="K331" s="15" t="inlineStr">
        <is>
          <t>Valid (Smart Meter)</t>
        </is>
      </c>
      <c r="L331" s="26" t="inlineStr">
        <is>
          <t>Daytime low activity / Home office</t>
        </is>
      </c>
    </row>
    <row r="332">
      <c r="A332" s="15" t="inlineStr">
        <is>
          <t>2025-11-13 10:30:00</t>
        </is>
      </c>
      <c r="B332" s="15" t="inlineStr">
        <is>
          <t>2025-11-13</t>
        </is>
      </c>
      <c r="C332" s="15" t="inlineStr">
        <is>
          <t>10:30</t>
        </is>
      </c>
      <c r="D332" s="15" t="inlineStr">
        <is>
          <t>Thursday</t>
        </is>
      </c>
      <c r="E332" s="15" t="n">
        <v>330</v>
      </c>
      <c r="F332" s="25" t="n">
        <v>297000</v>
      </c>
      <c r="G332" s="25" t="n">
        <v>82.5</v>
      </c>
      <c r="H332" s="37" t="n">
        <v>0.77</v>
      </c>
      <c r="I332" s="38">
        <f>H332*0.25</f>
        <v/>
      </c>
      <c r="J332" s="35">
        <f>J331+I332</f>
        <v/>
      </c>
      <c r="K332" s="15" t="inlineStr">
        <is>
          <t>Valid (Smart Meter)</t>
        </is>
      </c>
      <c r="L332" s="26" t="inlineStr">
        <is>
          <t>Daytime low activity / Home office</t>
        </is>
      </c>
    </row>
    <row r="333">
      <c r="A333" s="15" t="inlineStr">
        <is>
          <t>2025-11-13 10:45:00</t>
        </is>
      </c>
      <c r="B333" s="15" t="inlineStr">
        <is>
          <t>2025-11-13</t>
        </is>
      </c>
      <c r="C333" s="15" t="inlineStr">
        <is>
          <t>10:45</t>
        </is>
      </c>
      <c r="D333" s="15" t="inlineStr">
        <is>
          <t>Thursday</t>
        </is>
      </c>
      <c r="E333" s="15" t="n">
        <v>331</v>
      </c>
      <c r="F333" s="25" t="n">
        <v>297900</v>
      </c>
      <c r="G333" s="25" t="n">
        <v>82.75</v>
      </c>
      <c r="H333" s="37" t="n">
        <v>0.7</v>
      </c>
      <c r="I333" s="38">
        <f>H333*0.25</f>
        <v/>
      </c>
      <c r="J333" s="35">
        <f>J332+I333</f>
        <v/>
      </c>
      <c r="K333" s="15" t="inlineStr">
        <is>
          <t>Valid (Smart Meter)</t>
        </is>
      </c>
      <c r="L333" s="26" t="inlineStr">
        <is>
          <t>Daytime low activity / Home office</t>
        </is>
      </c>
    </row>
    <row r="334">
      <c r="A334" s="12" t="inlineStr">
        <is>
          <t>2025-11-13 11:00:00</t>
        </is>
      </c>
      <c r="B334" s="12" t="inlineStr">
        <is>
          <t>2025-11-13</t>
        </is>
      </c>
      <c r="C334" s="12" t="inlineStr">
        <is>
          <t>11:00</t>
        </is>
      </c>
      <c r="D334" s="12" t="inlineStr">
        <is>
          <t>Thursday</t>
        </is>
      </c>
      <c r="E334" s="12" t="n">
        <v>332</v>
      </c>
      <c r="F334" s="27" t="n">
        <v>298800</v>
      </c>
      <c r="G334" s="27" t="n">
        <v>83</v>
      </c>
      <c r="H334" s="39" t="n">
        <v>0.791</v>
      </c>
      <c r="I334" s="40">
        <f>H334*0.25</f>
        <v/>
      </c>
      <c r="J334" s="34">
        <f>J333+I334</f>
        <v/>
      </c>
      <c r="K334" s="12" t="inlineStr">
        <is>
          <t>Valid (Smart Meter)</t>
        </is>
      </c>
      <c r="L334" s="28" t="inlineStr">
        <is>
          <t>Daytime low activity / Home office</t>
        </is>
      </c>
    </row>
    <row r="335">
      <c r="A335" s="12" t="inlineStr">
        <is>
          <t>2025-11-13 11:15:00</t>
        </is>
      </c>
      <c r="B335" s="12" t="inlineStr">
        <is>
          <t>2025-11-13</t>
        </is>
      </c>
      <c r="C335" s="12" t="inlineStr">
        <is>
          <t>11:15</t>
        </is>
      </c>
      <c r="D335" s="12" t="inlineStr">
        <is>
          <t>Thursday</t>
        </is>
      </c>
      <c r="E335" s="12" t="n">
        <v>333</v>
      </c>
      <c r="F335" s="27" t="n">
        <v>299700</v>
      </c>
      <c r="G335" s="27" t="n">
        <v>83.25</v>
      </c>
      <c r="H335" s="39" t="n">
        <v>0.789</v>
      </c>
      <c r="I335" s="40">
        <f>H335*0.25</f>
        <v/>
      </c>
      <c r="J335" s="34">
        <f>J334+I335</f>
        <v/>
      </c>
      <c r="K335" s="12" t="inlineStr">
        <is>
          <t>Valid (Smart Meter)</t>
        </is>
      </c>
      <c r="L335" s="28" t="inlineStr">
        <is>
          <t>Daytime low activity / Home office</t>
        </is>
      </c>
    </row>
    <row r="336">
      <c r="A336" s="12" t="inlineStr">
        <is>
          <t>2025-11-13 11:30:00</t>
        </is>
      </c>
      <c r="B336" s="12" t="inlineStr">
        <is>
          <t>2025-11-13</t>
        </is>
      </c>
      <c r="C336" s="12" t="inlineStr">
        <is>
          <t>11:30</t>
        </is>
      </c>
      <c r="D336" s="12" t="inlineStr">
        <is>
          <t>Thursday</t>
        </is>
      </c>
      <c r="E336" s="12" t="n">
        <v>334</v>
      </c>
      <c r="F336" s="27" t="n">
        <v>300600</v>
      </c>
      <c r="G336" s="27" t="n">
        <v>83.5</v>
      </c>
      <c r="H336" s="39" t="n">
        <v>0.661</v>
      </c>
      <c r="I336" s="40">
        <f>H336*0.25</f>
        <v/>
      </c>
      <c r="J336" s="34">
        <f>J335+I336</f>
        <v/>
      </c>
      <c r="K336" s="12" t="inlineStr">
        <is>
          <t>Valid (Smart Meter)</t>
        </is>
      </c>
      <c r="L336" s="28" t="inlineStr">
        <is>
          <t>Daytime low activity / Home office</t>
        </is>
      </c>
    </row>
    <row r="337">
      <c r="A337" s="12" t="inlineStr">
        <is>
          <t>2025-11-13 11:45:00</t>
        </is>
      </c>
      <c r="B337" s="12" t="inlineStr">
        <is>
          <t>2025-11-13</t>
        </is>
      </c>
      <c r="C337" s="12" t="inlineStr">
        <is>
          <t>11:45</t>
        </is>
      </c>
      <c r="D337" s="12" t="inlineStr">
        <is>
          <t>Thursday</t>
        </is>
      </c>
      <c r="E337" s="12" t="n">
        <v>335</v>
      </c>
      <c r="F337" s="27" t="n">
        <v>301500</v>
      </c>
      <c r="G337" s="27" t="n">
        <v>83.75</v>
      </c>
      <c r="H337" s="39" t="n">
        <v>0.6</v>
      </c>
      <c r="I337" s="40">
        <f>H337*0.25</f>
        <v/>
      </c>
      <c r="J337" s="34">
        <f>J336+I337</f>
        <v/>
      </c>
      <c r="K337" s="12" t="inlineStr">
        <is>
          <t>Valid (Smart Meter)</t>
        </is>
      </c>
      <c r="L337" s="28" t="inlineStr">
        <is>
          <t>Daytime low activity / Home office</t>
        </is>
      </c>
    </row>
    <row r="338">
      <c r="A338" s="15" t="inlineStr">
        <is>
          <t>2025-11-13 12:00:00</t>
        </is>
      </c>
      <c r="B338" s="15" t="inlineStr">
        <is>
          <t>2025-11-13</t>
        </is>
      </c>
      <c r="C338" s="15" t="inlineStr">
        <is>
          <t>12:00</t>
        </is>
      </c>
      <c r="D338" s="15" t="inlineStr">
        <is>
          <t>Thursday</t>
        </is>
      </c>
      <c r="E338" s="15" t="n">
        <v>336</v>
      </c>
      <c r="F338" s="25" t="n">
        <v>302400</v>
      </c>
      <c r="G338" s="25" t="n">
        <v>84</v>
      </c>
      <c r="H338" s="37" t="n">
        <v>1.649</v>
      </c>
      <c r="I338" s="38">
        <f>H338*0.25</f>
        <v/>
      </c>
      <c r="J338" s="35">
        <f>J337+I338</f>
        <v/>
      </c>
      <c r="K338" s="15" t="inlineStr">
        <is>
          <t>Valid (Smart Meter)</t>
        </is>
      </c>
      <c r="L338" s="26" t="inlineStr">
        <is>
          <t>Lunch microwave / cooking</t>
        </is>
      </c>
    </row>
    <row r="339">
      <c r="A339" s="15" t="inlineStr">
        <is>
          <t>2025-11-13 12:15:00</t>
        </is>
      </c>
      <c r="B339" s="15" t="inlineStr">
        <is>
          <t>2025-11-13</t>
        </is>
      </c>
      <c r="C339" s="15" t="inlineStr">
        <is>
          <t>12:15</t>
        </is>
      </c>
      <c r="D339" s="15" t="inlineStr">
        <is>
          <t>Thursday</t>
        </is>
      </c>
      <c r="E339" s="15" t="n">
        <v>337</v>
      </c>
      <c r="F339" s="25" t="n">
        <v>303300</v>
      </c>
      <c r="G339" s="25" t="n">
        <v>84.25</v>
      </c>
      <c r="H339" s="37" t="n">
        <v>1.763</v>
      </c>
      <c r="I339" s="38">
        <f>H339*0.25</f>
        <v/>
      </c>
      <c r="J339" s="35">
        <f>J338+I339</f>
        <v/>
      </c>
      <c r="K339" s="15" t="inlineStr">
        <is>
          <t>Valid (Smart Meter)</t>
        </is>
      </c>
      <c r="L339" s="26" t="inlineStr">
        <is>
          <t>Lunch microwave / cooking</t>
        </is>
      </c>
    </row>
    <row r="340">
      <c r="A340" s="15" t="inlineStr">
        <is>
          <t>2025-11-13 12:30:00</t>
        </is>
      </c>
      <c r="B340" s="15" t="inlineStr">
        <is>
          <t>2025-11-13</t>
        </is>
      </c>
      <c r="C340" s="15" t="inlineStr">
        <is>
          <t>12:30</t>
        </is>
      </c>
      <c r="D340" s="15" t="inlineStr">
        <is>
          <t>Thursday</t>
        </is>
      </c>
      <c r="E340" s="15" t="n">
        <v>338</v>
      </c>
      <c r="F340" s="25" t="n">
        <v>304200</v>
      </c>
      <c r="G340" s="25" t="n">
        <v>84.5</v>
      </c>
      <c r="H340" s="37" t="n">
        <v>1.892</v>
      </c>
      <c r="I340" s="38">
        <f>H340*0.25</f>
        <v/>
      </c>
      <c r="J340" s="35">
        <f>J339+I340</f>
        <v/>
      </c>
      <c r="K340" s="15" t="inlineStr">
        <is>
          <t>Valid (Smart Meter)</t>
        </is>
      </c>
      <c r="L340" s="26" t="inlineStr">
        <is>
          <t>Lunch microwave / cooking</t>
        </is>
      </c>
    </row>
    <row r="341">
      <c r="A341" s="15" t="inlineStr">
        <is>
          <t>2025-11-13 12:45:00</t>
        </is>
      </c>
      <c r="B341" s="15" t="inlineStr">
        <is>
          <t>2025-11-13</t>
        </is>
      </c>
      <c r="C341" s="15" t="inlineStr">
        <is>
          <t>12:45</t>
        </is>
      </c>
      <c r="D341" s="15" t="inlineStr">
        <is>
          <t>Thursday</t>
        </is>
      </c>
      <c r="E341" s="15" t="n">
        <v>339</v>
      </c>
      <c r="F341" s="25" t="n">
        <v>305100</v>
      </c>
      <c r="G341" s="25" t="n">
        <v>84.75</v>
      </c>
      <c r="H341" s="37" t="n">
        <v>1.736</v>
      </c>
      <c r="I341" s="38">
        <f>H341*0.25</f>
        <v/>
      </c>
      <c r="J341" s="35">
        <f>J340+I341</f>
        <v/>
      </c>
      <c r="K341" s="15" t="inlineStr">
        <is>
          <t>Valid (Smart Meter)</t>
        </is>
      </c>
      <c r="L341" s="26" t="inlineStr">
        <is>
          <t>Lunch microwave / cooking</t>
        </is>
      </c>
    </row>
    <row r="342">
      <c r="A342" s="12" t="inlineStr">
        <is>
          <t>2025-11-13 13:00:00</t>
        </is>
      </c>
      <c r="B342" s="12" t="inlineStr">
        <is>
          <t>2025-11-13</t>
        </is>
      </c>
      <c r="C342" s="12" t="inlineStr">
        <is>
          <t>13:00</t>
        </is>
      </c>
      <c r="D342" s="12" t="inlineStr">
        <is>
          <t>Thursday</t>
        </is>
      </c>
      <c r="E342" s="12" t="n">
        <v>340</v>
      </c>
      <c r="F342" s="27" t="n">
        <v>306000</v>
      </c>
      <c r="G342" s="27" t="n">
        <v>85</v>
      </c>
      <c r="H342" s="39" t="n">
        <v>0.552</v>
      </c>
      <c r="I342" s="40">
        <f>H342*0.25</f>
        <v/>
      </c>
      <c r="J342" s="34">
        <f>J341+I342</f>
        <v/>
      </c>
      <c r="K342" s="12" t="inlineStr">
        <is>
          <t>Valid (Smart Meter)</t>
        </is>
      </c>
      <c r="L342" s="28" t="inlineStr">
        <is>
          <t>Daytime low activity / Home office</t>
        </is>
      </c>
    </row>
    <row r="343">
      <c r="A343" s="12" t="inlineStr">
        <is>
          <t>2025-11-13 13:15:00</t>
        </is>
      </c>
      <c r="B343" s="12" t="inlineStr">
        <is>
          <t>2025-11-13</t>
        </is>
      </c>
      <c r="C343" s="12" t="inlineStr">
        <is>
          <t>13:15</t>
        </is>
      </c>
      <c r="D343" s="12" t="inlineStr">
        <is>
          <t>Thursday</t>
        </is>
      </c>
      <c r="E343" s="12" t="n">
        <v>341</v>
      </c>
      <c r="F343" s="27" t="n">
        <v>306900</v>
      </c>
      <c r="G343" s="27" t="n">
        <v>85.25</v>
      </c>
      <c r="H343" s="39" t="n">
        <v>0.637</v>
      </c>
      <c r="I343" s="40">
        <f>H343*0.25</f>
        <v/>
      </c>
      <c r="J343" s="34">
        <f>J342+I343</f>
        <v/>
      </c>
      <c r="K343" s="12" t="inlineStr">
        <is>
          <t>Valid (Smart Meter)</t>
        </is>
      </c>
      <c r="L343" s="28" t="inlineStr">
        <is>
          <t>Daytime low activity / Home office</t>
        </is>
      </c>
    </row>
    <row r="344">
      <c r="A344" s="12" t="inlineStr">
        <is>
          <t>2025-11-13 13:30:00</t>
        </is>
      </c>
      <c r="B344" s="12" t="inlineStr">
        <is>
          <t>2025-11-13</t>
        </is>
      </c>
      <c r="C344" s="12" t="inlineStr">
        <is>
          <t>13:30</t>
        </is>
      </c>
      <c r="D344" s="12" t="inlineStr">
        <is>
          <t>Thursday</t>
        </is>
      </c>
      <c r="E344" s="12" t="n">
        <v>342</v>
      </c>
      <c r="F344" s="27" t="n">
        <v>307800</v>
      </c>
      <c r="G344" s="27" t="n">
        <v>85.5</v>
      </c>
      <c r="H344" s="39" t="n">
        <v>0.639</v>
      </c>
      <c r="I344" s="40">
        <f>H344*0.25</f>
        <v/>
      </c>
      <c r="J344" s="34">
        <f>J343+I344</f>
        <v/>
      </c>
      <c r="K344" s="12" t="inlineStr">
        <is>
          <t>Valid (Smart Meter)</t>
        </is>
      </c>
      <c r="L344" s="28" t="inlineStr">
        <is>
          <t>Daytime low activity / Home office</t>
        </is>
      </c>
    </row>
    <row r="345">
      <c r="A345" s="12" t="inlineStr">
        <is>
          <t>2025-11-13 13:45:00</t>
        </is>
      </c>
      <c r="B345" s="12" t="inlineStr">
        <is>
          <t>2025-11-13</t>
        </is>
      </c>
      <c r="C345" s="12" t="inlineStr">
        <is>
          <t>13:45</t>
        </is>
      </c>
      <c r="D345" s="12" t="inlineStr">
        <is>
          <t>Thursday</t>
        </is>
      </c>
      <c r="E345" s="12" t="n">
        <v>343</v>
      </c>
      <c r="F345" s="27" t="n">
        <v>308700</v>
      </c>
      <c r="G345" s="27" t="n">
        <v>85.75</v>
      </c>
      <c r="H345" s="39" t="n">
        <v>0.703</v>
      </c>
      <c r="I345" s="40">
        <f>H345*0.25</f>
        <v/>
      </c>
      <c r="J345" s="34">
        <f>J344+I345</f>
        <v/>
      </c>
      <c r="K345" s="12" t="inlineStr">
        <is>
          <t>Valid (Smart Meter)</t>
        </is>
      </c>
      <c r="L345" s="28" t="inlineStr">
        <is>
          <t>Daytime low activity / Home office</t>
        </is>
      </c>
    </row>
    <row r="346">
      <c r="A346" s="15" t="inlineStr">
        <is>
          <t>2025-11-13 14:00:00</t>
        </is>
      </c>
      <c r="B346" s="15" t="inlineStr">
        <is>
          <t>2025-11-13</t>
        </is>
      </c>
      <c r="C346" s="15" t="inlineStr">
        <is>
          <t>14:00</t>
        </is>
      </c>
      <c r="D346" s="15" t="inlineStr">
        <is>
          <t>Thursday</t>
        </is>
      </c>
      <c r="E346" s="15" t="n">
        <v>344</v>
      </c>
      <c r="F346" s="25" t="n">
        <v>309600</v>
      </c>
      <c r="G346" s="25" t="n">
        <v>86</v>
      </c>
      <c r="H346" s="37" t="n">
        <v>0.677</v>
      </c>
      <c r="I346" s="38">
        <f>H346*0.25</f>
        <v/>
      </c>
      <c r="J346" s="35">
        <f>J345+I346</f>
        <v/>
      </c>
      <c r="K346" s="15" t="inlineStr">
        <is>
          <t>Valid (Smart Meter)</t>
        </is>
      </c>
      <c r="L346" s="26" t="inlineStr">
        <is>
          <t>Daytime low activity / Home office</t>
        </is>
      </c>
    </row>
    <row r="347">
      <c r="A347" s="15" t="inlineStr">
        <is>
          <t>2025-11-13 14:15:00</t>
        </is>
      </c>
      <c r="B347" s="15" t="inlineStr">
        <is>
          <t>2025-11-13</t>
        </is>
      </c>
      <c r="C347" s="15" t="inlineStr">
        <is>
          <t>14:15</t>
        </is>
      </c>
      <c r="D347" s="15" t="inlineStr">
        <is>
          <t>Thursday</t>
        </is>
      </c>
      <c r="E347" s="15" t="n">
        <v>345</v>
      </c>
      <c r="F347" s="25" t="n">
        <v>310500</v>
      </c>
      <c r="G347" s="25" t="n">
        <v>86.25</v>
      </c>
      <c r="H347" s="37" t="n">
        <v>0.678</v>
      </c>
      <c r="I347" s="38">
        <f>H347*0.25</f>
        <v/>
      </c>
      <c r="J347" s="35">
        <f>J346+I347</f>
        <v/>
      </c>
      <c r="K347" s="15" t="inlineStr">
        <is>
          <t>Valid (Smart Meter)</t>
        </is>
      </c>
      <c r="L347" s="26" t="inlineStr">
        <is>
          <t>Daytime low activity / Home office</t>
        </is>
      </c>
    </row>
    <row r="348">
      <c r="A348" s="15" t="inlineStr">
        <is>
          <t>2025-11-13 14:30:00</t>
        </is>
      </c>
      <c r="B348" s="15" t="inlineStr">
        <is>
          <t>2025-11-13</t>
        </is>
      </c>
      <c r="C348" s="15" t="inlineStr">
        <is>
          <t>14:30</t>
        </is>
      </c>
      <c r="D348" s="15" t="inlineStr">
        <is>
          <t>Thursday</t>
        </is>
      </c>
      <c r="E348" s="15" t="n">
        <v>346</v>
      </c>
      <c r="F348" s="25" t="n">
        <v>311400</v>
      </c>
      <c r="G348" s="25" t="n">
        <v>86.5</v>
      </c>
      <c r="H348" s="37" t="n">
        <v>0.602</v>
      </c>
      <c r="I348" s="38">
        <f>H348*0.25</f>
        <v/>
      </c>
      <c r="J348" s="35">
        <f>J347+I348</f>
        <v/>
      </c>
      <c r="K348" s="15" t="inlineStr">
        <is>
          <t>Valid (Smart Meter)</t>
        </is>
      </c>
      <c r="L348" s="26" t="inlineStr">
        <is>
          <t>Daytime low activity / Home office</t>
        </is>
      </c>
    </row>
    <row r="349">
      <c r="A349" s="15" t="inlineStr">
        <is>
          <t>2025-11-13 14:45:00</t>
        </is>
      </c>
      <c r="B349" s="15" t="inlineStr">
        <is>
          <t>2025-11-13</t>
        </is>
      </c>
      <c r="C349" s="15" t="inlineStr">
        <is>
          <t>14:45</t>
        </is>
      </c>
      <c r="D349" s="15" t="inlineStr">
        <is>
          <t>Thursday</t>
        </is>
      </c>
      <c r="E349" s="15" t="n">
        <v>347</v>
      </c>
      <c r="F349" s="25" t="n">
        <v>312300</v>
      </c>
      <c r="G349" s="25" t="n">
        <v>86.75</v>
      </c>
      <c r="H349" s="37" t="n">
        <v>0.673</v>
      </c>
      <c r="I349" s="38">
        <f>H349*0.25</f>
        <v/>
      </c>
      <c r="J349" s="35">
        <f>J348+I349</f>
        <v/>
      </c>
      <c r="K349" s="15" t="inlineStr">
        <is>
          <t>Valid (Smart Meter)</t>
        </is>
      </c>
      <c r="L349" s="26" t="inlineStr">
        <is>
          <t>Daytime low activity / Home office</t>
        </is>
      </c>
    </row>
    <row r="350">
      <c r="A350" s="12" t="inlineStr">
        <is>
          <t>2025-11-13 15:00:00</t>
        </is>
      </c>
      <c r="B350" s="12" t="inlineStr">
        <is>
          <t>2025-11-13</t>
        </is>
      </c>
      <c r="C350" s="12" t="inlineStr">
        <is>
          <t>15:00</t>
        </is>
      </c>
      <c r="D350" s="12" t="inlineStr">
        <is>
          <t>Thursday</t>
        </is>
      </c>
      <c r="E350" s="12" t="n">
        <v>348</v>
      </c>
      <c r="F350" s="27" t="n">
        <v>313200</v>
      </c>
      <c r="G350" s="27" t="n">
        <v>87</v>
      </c>
      <c r="H350" s="39" t="n">
        <v>0.739</v>
      </c>
      <c r="I350" s="40">
        <f>H350*0.25</f>
        <v/>
      </c>
      <c r="J350" s="34">
        <f>J349+I350</f>
        <v/>
      </c>
      <c r="K350" s="12" t="inlineStr">
        <is>
          <t>Valid (Smart Meter)</t>
        </is>
      </c>
      <c r="L350" s="28" t="inlineStr">
        <is>
          <t>Daytime low activity / Home office</t>
        </is>
      </c>
    </row>
    <row r="351">
      <c r="A351" s="12" t="inlineStr">
        <is>
          <t>2025-11-13 15:15:00</t>
        </is>
      </c>
      <c r="B351" s="12" t="inlineStr">
        <is>
          <t>2025-11-13</t>
        </is>
      </c>
      <c r="C351" s="12" t="inlineStr">
        <is>
          <t>15:15</t>
        </is>
      </c>
      <c r="D351" s="12" t="inlineStr">
        <is>
          <t>Thursday</t>
        </is>
      </c>
      <c r="E351" s="12" t="n">
        <v>349</v>
      </c>
      <c r="F351" s="27" t="n">
        <v>314100</v>
      </c>
      <c r="G351" s="27" t="n">
        <v>87.25</v>
      </c>
      <c r="H351" s="39" t="n">
        <v>0.766</v>
      </c>
      <c r="I351" s="40">
        <f>H351*0.25</f>
        <v/>
      </c>
      <c r="J351" s="34">
        <f>J350+I351</f>
        <v/>
      </c>
      <c r="K351" s="12" t="inlineStr">
        <is>
          <t>Valid (Smart Meter)</t>
        </is>
      </c>
      <c r="L351" s="28" t="inlineStr">
        <is>
          <t>Daytime low activity / Home office</t>
        </is>
      </c>
    </row>
    <row r="352">
      <c r="A352" s="12" t="inlineStr">
        <is>
          <t>2025-11-13 15:30:00</t>
        </is>
      </c>
      <c r="B352" s="12" t="inlineStr">
        <is>
          <t>2025-11-13</t>
        </is>
      </c>
      <c r="C352" s="12" t="inlineStr">
        <is>
          <t>15:30</t>
        </is>
      </c>
      <c r="D352" s="12" t="inlineStr">
        <is>
          <t>Thursday</t>
        </is>
      </c>
      <c r="E352" s="12" t="n">
        <v>350</v>
      </c>
      <c r="F352" s="27" t="n">
        <v>315000</v>
      </c>
      <c r="G352" s="27" t="n">
        <v>87.5</v>
      </c>
      <c r="H352" s="39" t="n">
        <v>0.678</v>
      </c>
      <c r="I352" s="40">
        <f>H352*0.25</f>
        <v/>
      </c>
      <c r="J352" s="34">
        <f>J351+I352</f>
        <v/>
      </c>
      <c r="K352" s="12" t="inlineStr">
        <is>
          <t>Valid (Smart Meter)</t>
        </is>
      </c>
      <c r="L352" s="28" t="inlineStr">
        <is>
          <t>Daytime low activity / Home office</t>
        </is>
      </c>
    </row>
    <row r="353">
      <c r="A353" s="12" t="inlineStr">
        <is>
          <t>2025-11-13 15:45:00</t>
        </is>
      </c>
      <c r="B353" s="12" t="inlineStr">
        <is>
          <t>2025-11-13</t>
        </is>
      </c>
      <c r="C353" s="12" t="inlineStr">
        <is>
          <t>15:45</t>
        </is>
      </c>
      <c r="D353" s="12" t="inlineStr">
        <is>
          <t>Thursday</t>
        </is>
      </c>
      <c r="E353" s="12" t="n">
        <v>351</v>
      </c>
      <c r="F353" s="27" t="n">
        <v>315900</v>
      </c>
      <c r="G353" s="27" t="n">
        <v>87.75</v>
      </c>
      <c r="H353" s="39" t="n">
        <v>0.67</v>
      </c>
      <c r="I353" s="40">
        <f>H353*0.25</f>
        <v/>
      </c>
      <c r="J353" s="34">
        <f>J352+I353</f>
        <v/>
      </c>
      <c r="K353" s="12" t="inlineStr">
        <is>
          <t>Valid (Smart Meter)</t>
        </is>
      </c>
      <c r="L353" s="28" t="inlineStr">
        <is>
          <t>Daytime low activity / Home office</t>
        </is>
      </c>
    </row>
    <row r="354">
      <c r="A354" s="15" t="inlineStr">
        <is>
          <t>2025-11-13 16:00:00</t>
        </is>
      </c>
      <c r="B354" s="15" t="inlineStr">
        <is>
          <t>2025-11-13</t>
        </is>
      </c>
      <c r="C354" s="15" t="inlineStr">
        <is>
          <t>16:00</t>
        </is>
      </c>
      <c r="D354" s="15" t="inlineStr">
        <is>
          <t>Thursday</t>
        </is>
      </c>
      <c r="E354" s="15" t="n">
        <v>352</v>
      </c>
      <c r="F354" s="25" t="n">
        <v>316800</v>
      </c>
      <c r="G354" s="25" t="n">
        <v>88</v>
      </c>
      <c r="H354" s="37" t="n">
        <v>0.602</v>
      </c>
      <c r="I354" s="38">
        <f>H354*0.25</f>
        <v/>
      </c>
      <c r="J354" s="35">
        <f>J353+I354</f>
        <v/>
      </c>
      <c r="K354" s="15" t="inlineStr">
        <is>
          <t>Valid (Smart Meter)</t>
        </is>
      </c>
      <c r="L354" s="26" t="inlineStr">
        <is>
          <t>Daytime low activity / Home office</t>
        </is>
      </c>
    </row>
    <row r="355">
      <c r="A355" s="15" t="inlineStr">
        <is>
          <t>2025-11-13 16:15:00</t>
        </is>
      </c>
      <c r="B355" s="15" t="inlineStr">
        <is>
          <t>2025-11-13</t>
        </is>
      </c>
      <c r="C355" s="15" t="inlineStr">
        <is>
          <t>16:15</t>
        </is>
      </c>
      <c r="D355" s="15" t="inlineStr">
        <is>
          <t>Thursday</t>
        </is>
      </c>
      <c r="E355" s="15" t="n">
        <v>353</v>
      </c>
      <c r="F355" s="25" t="n">
        <v>317700</v>
      </c>
      <c r="G355" s="25" t="n">
        <v>88.25</v>
      </c>
      <c r="H355" s="37" t="n">
        <v>0.771</v>
      </c>
      <c r="I355" s="38">
        <f>H355*0.25</f>
        <v/>
      </c>
      <c r="J355" s="35">
        <f>J354+I355</f>
        <v/>
      </c>
      <c r="K355" s="15" t="inlineStr">
        <is>
          <t>Valid (Smart Meter)</t>
        </is>
      </c>
      <c r="L355" s="26" t="inlineStr">
        <is>
          <t>Daytime low activity / Home office</t>
        </is>
      </c>
    </row>
    <row r="356">
      <c r="A356" s="15" t="inlineStr">
        <is>
          <t>2025-11-13 16:30:00</t>
        </is>
      </c>
      <c r="B356" s="15" t="inlineStr">
        <is>
          <t>2025-11-13</t>
        </is>
      </c>
      <c r="C356" s="15" t="inlineStr">
        <is>
          <t>16:30</t>
        </is>
      </c>
      <c r="D356" s="15" t="inlineStr">
        <is>
          <t>Thursday</t>
        </is>
      </c>
      <c r="E356" s="15" t="n">
        <v>354</v>
      </c>
      <c r="F356" s="25" t="n">
        <v>318600</v>
      </c>
      <c r="G356" s="25" t="n">
        <v>88.5</v>
      </c>
      <c r="H356" s="37" t="n">
        <v>1.614</v>
      </c>
      <c r="I356" s="38">
        <f>H356*0.25</f>
        <v/>
      </c>
      <c r="J356" s="35">
        <f>J355+I356</f>
        <v/>
      </c>
      <c r="K356" s="15" t="inlineStr">
        <is>
          <t>Valid (Smart Meter)</t>
        </is>
      </c>
      <c r="L356" s="26" t="inlineStr">
        <is>
          <t>Evening living / Lighting / Heat</t>
        </is>
      </c>
    </row>
    <row r="357">
      <c r="A357" s="15" t="inlineStr">
        <is>
          <t>2025-11-13 16:45:00</t>
        </is>
      </c>
      <c r="B357" s="15" t="inlineStr">
        <is>
          <t>2025-11-13</t>
        </is>
      </c>
      <c r="C357" s="15" t="inlineStr">
        <is>
          <t>16:45</t>
        </is>
      </c>
      <c r="D357" s="15" t="inlineStr">
        <is>
          <t>Thursday</t>
        </is>
      </c>
      <c r="E357" s="15" t="n">
        <v>355</v>
      </c>
      <c r="F357" s="25" t="n">
        <v>319500</v>
      </c>
      <c r="G357" s="25" t="n">
        <v>88.75</v>
      </c>
      <c r="H357" s="37" t="n">
        <v>1.582</v>
      </c>
      <c r="I357" s="38">
        <f>H357*0.25</f>
        <v/>
      </c>
      <c r="J357" s="35">
        <f>J356+I357</f>
        <v/>
      </c>
      <c r="K357" s="15" t="inlineStr">
        <is>
          <t>Valid (Smart Meter)</t>
        </is>
      </c>
      <c r="L357" s="26" t="inlineStr">
        <is>
          <t>Evening living / Lighting / Heat</t>
        </is>
      </c>
    </row>
    <row r="358">
      <c r="A358" s="12" t="inlineStr">
        <is>
          <t>2025-11-13 17:00:00</t>
        </is>
      </c>
      <c r="B358" s="12" t="inlineStr">
        <is>
          <t>2025-11-13</t>
        </is>
      </c>
      <c r="C358" s="12" t="inlineStr">
        <is>
          <t>17:00</t>
        </is>
      </c>
      <c r="D358" s="12" t="inlineStr">
        <is>
          <t>Thursday</t>
        </is>
      </c>
      <c r="E358" s="12" t="n">
        <v>356</v>
      </c>
      <c r="F358" s="27" t="n">
        <v>320400</v>
      </c>
      <c r="G358" s="27" t="n">
        <v>89</v>
      </c>
      <c r="H358" s="39" t="n">
        <v>1.518</v>
      </c>
      <c r="I358" s="40">
        <f>H358*0.25</f>
        <v/>
      </c>
      <c r="J358" s="34">
        <f>J357+I358</f>
        <v/>
      </c>
      <c r="K358" s="12" t="inlineStr">
        <is>
          <t>Valid (Smart Meter)</t>
        </is>
      </c>
      <c r="L358" s="28" t="inlineStr">
        <is>
          <t>Evening living / Lighting / Heat</t>
        </is>
      </c>
    </row>
    <row r="359">
      <c r="A359" s="12" t="inlineStr">
        <is>
          <t>2025-11-13 17:15:00</t>
        </is>
      </c>
      <c r="B359" s="12" t="inlineStr">
        <is>
          <t>2025-11-13</t>
        </is>
      </c>
      <c r="C359" s="12" t="inlineStr">
        <is>
          <t>17:15</t>
        </is>
      </c>
      <c r="D359" s="12" t="inlineStr">
        <is>
          <t>Thursday</t>
        </is>
      </c>
      <c r="E359" s="12" t="n">
        <v>357</v>
      </c>
      <c r="F359" s="27" t="n">
        <v>321300</v>
      </c>
      <c r="G359" s="27" t="n">
        <v>89.25</v>
      </c>
      <c r="H359" s="39" t="n">
        <v>1.603</v>
      </c>
      <c r="I359" s="40">
        <f>H359*0.25</f>
        <v/>
      </c>
      <c r="J359" s="34">
        <f>J358+I359</f>
        <v/>
      </c>
      <c r="K359" s="12" t="inlineStr">
        <is>
          <t>Valid (Smart Meter)</t>
        </is>
      </c>
      <c r="L359" s="28" t="inlineStr">
        <is>
          <t>Evening living / Lighting / Heat</t>
        </is>
      </c>
    </row>
    <row r="360">
      <c r="A360" s="12" t="inlineStr">
        <is>
          <t>2025-11-13 17:30:00</t>
        </is>
      </c>
      <c r="B360" s="12" t="inlineStr">
        <is>
          <t>2025-11-13</t>
        </is>
      </c>
      <c r="C360" s="12" t="inlineStr">
        <is>
          <t>17:30</t>
        </is>
      </c>
      <c r="D360" s="12" t="inlineStr">
        <is>
          <t>Thursday</t>
        </is>
      </c>
      <c r="E360" s="12" t="n">
        <v>358</v>
      </c>
      <c r="F360" s="27" t="n">
        <v>322200</v>
      </c>
      <c r="G360" s="27" t="n">
        <v>89.5</v>
      </c>
      <c r="H360" s="39" t="n">
        <v>1.558</v>
      </c>
      <c r="I360" s="40">
        <f>H360*0.25</f>
        <v/>
      </c>
      <c r="J360" s="34">
        <f>J359+I360</f>
        <v/>
      </c>
      <c r="K360" s="12" t="inlineStr">
        <is>
          <t>Valid (Smart Meter)</t>
        </is>
      </c>
      <c r="L360" s="28" t="inlineStr">
        <is>
          <t>Evening living / Lighting / Heat</t>
        </is>
      </c>
    </row>
    <row r="361">
      <c r="A361" s="12" t="inlineStr">
        <is>
          <t>2025-11-13 17:45:00</t>
        </is>
      </c>
      <c r="B361" s="12" t="inlineStr">
        <is>
          <t>2025-11-13</t>
        </is>
      </c>
      <c r="C361" s="12" t="inlineStr">
        <is>
          <t>17:45</t>
        </is>
      </c>
      <c r="D361" s="12" t="inlineStr">
        <is>
          <t>Thursday</t>
        </is>
      </c>
      <c r="E361" s="12" t="n">
        <v>359</v>
      </c>
      <c r="F361" s="27" t="n">
        <v>323100</v>
      </c>
      <c r="G361" s="27" t="n">
        <v>89.75</v>
      </c>
      <c r="H361" s="39" t="n">
        <v>1.71</v>
      </c>
      <c r="I361" s="40">
        <f>H361*0.25</f>
        <v/>
      </c>
      <c r="J361" s="34">
        <f>J360+I361</f>
        <v/>
      </c>
      <c r="K361" s="12" t="inlineStr">
        <is>
          <t>Valid (Smart Meter)</t>
        </is>
      </c>
      <c r="L361" s="28" t="inlineStr">
        <is>
          <t>Evening living / Lighting / Heat</t>
        </is>
      </c>
    </row>
    <row r="362">
      <c r="A362" s="15" t="inlineStr">
        <is>
          <t>2025-11-13 18:00:00</t>
        </is>
      </c>
      <c r="B362" s="15" t="inlineStr">
        <is>
          <t>2025-11-13</t>
        </is>
      </c>
      <c r="C362" s="15" t="inlineStr">
        <is>
          <t>18:00</t>
        </is>
      </c>
      <c r="D362" s="15" t="inlineStr">
        <is>
          <t>Thursday</t>
        </is>
      </c>
      <c r="E362" s="15" t="n">
        <v>360</v>
      </c>
      <c r="F362" s="25" t="n">
        <v>324000</v>
      </c>
      <c r="G362" s="25" t="n">
        <v>90</v>
      </c>
      <c r="H362" s="37" t="n">
        <v>3.956</v>
      </c>
      <c r="I362" s="38">
        <f>H362*0.25</f>
        <v/>
      </c>
      <c r="J362" s="35">
        <f>J361+I362</f>
        <v/>
      </c>
      <c r="K362" s="15" t="inlineStr">
        <is>
          <t>Valid (Smart Meter)</t>
        </is>
      </c>
      <c r="L362" s="26" t="inlineStr">
        <is>
          <t>Dinner cooking (Oven / Induction hob)</t>
        </is>
      </c>
    </row>
    <row r="363">
      <c r="A363" s="15" t="inlineStr">
        <is>
          <t>2025-11-13 18:15:00</t>
        </is>
      </c>
      <c r="B363" s="15" t="inlineStr">
        <is>
          <t>2025-11-13</t>
        </is>
      </c>
      <c r="C363" s="15" t="inlineStr">
        <is>
          <t>18:15</t>
        </is>
      </c>
      <c r="D363" s="15" t="inlineStr">
        <is>
          <t>Thursday</t>
        </is>
      </c>
      <c r="E363" s="15" t="n">
        <v>361</v>
      </c>
      <c r="F363" s="25" t="n">
        <v>324900</v>
      </c>
      <c r="G363" s="25" t="n">
        <v>90.25</v>
      </c>
      <c r="H363" s="37" t="n">
        <v>4.376</v>
      </c>
      <c r="I363" s="38">
        <f>H363*0.25</f>
        <v/>
      </c>
      <c r="J363" s="35">
        <f>J362+I363</f>
        <v/>
      </c>
      <c r="K363" s="15" t="inlineStr">
        <is>
          <t>Valid (Smart Meter)</t>
        </is>
      </c>
      <c r="L363" s="26" t="inlineStr">
        <is>
          <t>Dinner cooking (Oven / Induction hob)</t>
        </is>
      </c>
    </row>
    <row r="364">
      <c r="A364" s="15" t="inlineStr">
        <is>
          <t>2025-11-13 18:30:00</t>
        </is>
      </c>
      <c r="B364" s="15" t="inlineStr">
        <is>
          <t>2025-11-13</t>
        </is>
      </c>
      <c r="C364" s="15" t="inlineStr">
        <is>
          <t>18:30</t>
        </is>
      </c>
      <c r="D364" s="15" t="inlineStr">
        <is>
          <t>Thursday</t>
        </is>
      </c>
      <c r="E364" s="15" t="n">
        <v>362</v>
      </c>
      <c r="F364" s="25" t="n">
        <v>325800</v>
      </c>
      <c r="G364" s="25" t="n">
        <v>90.5</v>
      </c>
      <c r="H364" s="37" t="n">
        <v>4.394</v>
      </c>
      <c r="I364" s="38">
        <f>H364*0.25</f>
        <v/>
      </c>
      <c r="J364" s="35">
        <f>J363+I364</f>
        <v/>
      </c>
      <c r="K364" s="15" t="inlineStr">
        <is>
          <t>Valid (Smart Meter)</t>
        </is>
      </c>
      <c r="L364" s="26" t="inlineStr">
        <is>
          <t>Dinner cooking (Oven / Induction hob)</t>
        </is>
      </c>
    </row>
    <row r="365">
      <c r="A365" s="15" t="inlineStr">
        <is>
          <t>2025-11-13 18:45:00</t>
        </is>
      </c>
      <c r="B365" s="15" t="inlineStr">
        <is>
          <t>2025-11-13</t>
        </is>
      </c>
      <c r="C365" s="15" t="inlineStr">
        <is>
          <t>18:45</t>
        </is>
      </c>
      <c r="D365" s="15" t="inlineStr">
        <is>
          <t>Thursday</t>
        </is>
      </c>
      <c r="E365" s="15" t="n">
        <v>363</v>
      </c>
      <c r="F365" s="25" t="n">
        <v>326700</v>
      </c>
      <c r="G365" s="25" t="n">
        <v>90.75</v>
      </c>
      <c r="H365" s="37" t="n">
        <v>4.511</v>
      </c>
      <c r="I365" s="38">
        <f>H365*0.25</f>
        <v/>
      </c>
      <c r="J365" s="35">
        <f>J364+I365</f>
        <v/>
      </c>
      <c r="K365" s="15" t="inlineStr">
        <is>
          <t>Valid (Smart Meter)</t>
        </is>
      </c>
      <c r="L365" s="26" t="inlineStr">
        <is>
          <t>Dinner cooking (Oven / Induction hob)</t>
        </is>
      </c>
    </row>
    <row r="366">
      <c r="A366" s="12" t="inlineStr">
        <is>
          <t>2025-11-13 19:00:00</t>
        </is>
      </c>
      <c r="B366" s="12" t="inlineStr">
        <is>
          <t>2025-11-13</t>
        </is>
      </c>
      <c r="C366" s="12" t="inlineStr">
        <is>
          <t>19:00</t>
        </is>
      </c>
      <c r="D366" s="12" t="inlineStr">
        <is>
          <t>Thursday</t>
        </is>
      </c>
      <c r="E366" s="12" t="n">
        <v>364</v>
      </c>
      <c r="F366" s="27" t="n">
        <v>327600</v>
      </c>
      <c r="G366" s="27" t="n">
        <v>91</v>
      </c>
      <c r="H366" s="39" t="n">
        <v>4.204</v>
      </c>
      <c r="I366" s="40">
        <f>H366*0.25</f>
        <v/>
      </c>
      <c r="J366" s="34">
        <f>J365+I366</f>
        <v/>
      </c>
      <c r="K366" s="12" t="inlineStr">
        <is>
          <t>Valid (Smart Meter)</t>
        </is>
      </c>
      <c r="L366" s="28" t="inlineStr">
        <is>
          <t>Dinner cooking (Oven / Induction hob)</t>
        </is>
      </c>
    </row>
    <row r="367">
      <c r="A367" s="12" t="inlineStr">
        <is>
          <t>2025-11-13 19:15:00</t>
        </is>
      </c>
      <c r="B367" s="12" t="inlineStr">
        <is>
          <t>2025-11-13</t>
        </is>
      </c>
      <c r="C367" s="12" t="inlineStr">
        <is>
          <t>19:15</t>
        </is>
      </c>
      <c r="D367" s="12" t="inlineStr">
        <is>
          <t>Thursday</t>
        </is>
      </c>
      <c r="E367" s="12" t="n">
        <v>365</v>
      </c>
      <c r="F367" s="27" t="n">
        <v>328500</v>
      </c>
      <c r="G367" s="27" t="n">
        <v>91.25</v>
      </c>
      <c r="H367" s="39" t="n">
        <v>4.363</v>
      </c>
      <c r="I367" s="40">
        <f>H367*0.25</f>
        <v/>
      </c>
      <c r="J367" s="34">
        <f>J366+I367</f>
        <v/>
      </c>
      <c r="K367" s="12" t="inlineStr">
        <is>
          <t>Valid (Smart Meter)</t>
        </is>
      </c>
      <c r="L367" s="28" t="inlineStr">
        <is>
          <t>Dinner cooking (Oven / Induction hob)</t>
        </is>
      </c>
    </row>
    <row r="368">
      <c r="A368" s="12" t="inlineStr">
        <is>
          <t>2025-11-13 19:30:00</t>
        </is>
      </c>
      <c r="B368" s="12" t="inlineStr">
        <is>
          <t>2025-11-13</t>
        </is>
      </c>
      <c r="C368" s="12" t="inlineStr">
        <is>
          <t>19:30</t>
        </is>
      </c>
      <c r="D368" s="12" t="inlineStr">
        <is>
          <t>Thursday</t>
        </is>
      </c>
      <c r="E368" s="12" t="n">
        <v>366</v>
      </c>
      <c r="F368" s="27" t="n">
        <v>329400</v>
      </c>
      <c r="G368" s="27" t="n">
        <v>91.5</v>
      </c>
      <c r="H368" s="39" t="n">
        <v>4.469</v>
      </c>
      <c r="I368" s="40">
        <f>H368*0.25</f>
        <v/>
      </c>
      <c r="J368" s="34">
        <f>J367+I368</f>
        <v/>
      </c>
      <c r="K368" s="12" t="inlineStr">
        <is>
          <t>Valid (Smart Meter)</t>
        </is>
      </c>
      <c r="L368" s="28" t="inlineStr">
        <is>
          <t>Dinner cooking (Oven / Induction hob)</t>
        </is>
      </c>
    </row>
    <row r="369">
      <c r="A369" s="12" t="inlineStr">
        <is>
          <t>2025-11-13 19:45:00</t>
        </is>
      </c>
      <c r="B369" s="12" t="inlineStr">
        <is>
          <t>2025-11-13</t>
        </is>
      </c>
      <c r="C369" s="12" t="inlineStr">
        <is>
          <t>19:45</t>
        </is>
      </c>
      <c r="D369" s="12" t="inlineStr">
        <is>
          <t>Thursday</t>
        </is>
      </c>
      <c r="E369" s="12" t="n">
        <v>367</v>
      </c>
      <c r="F369" s="27" t="n">
        <v>330300</v>
      </c>
      <c r="G369" s="27" t="n">
        <v>91.75</v>
      </c>
      <c r="H369" s="39" t="n">
        <v>1.911</v>
      </c>
      <c r="I369" s="40">
        <f>H369*0.25</f>
        <v/>
      </c>
      <c r="J369" s="34">
        <f>J368+I369</f>
        <v/>
      </c>
      <c r="K369" s="12" t="inlineStr">
        <is>
          <t>Valid (Smart Meter)</t>
        </is>
      </c>
      <c r="L369" s="28" t="inlineStr">
        <is>
          <t>Evening living / Lighting / Heat</t>
        </is>
      </c>
    </row>
    <row r="370">
      <c r="A370" s="15" t="inlineStr">
        <is>
          <t>2025-11-13 20:00:00</t>
        </is>
      </c>
      <c r="B370" s="15" t="inlineStr">
        <is>
          <t>2025-11-13</t>
        </is>
      </c>
      <c r="C370" s="15" t="inlineStr">
        <is>
          <t>20:00</t>
        </is>
      </c>
      <c r="D370" s="15" t="inlineStr">
        <is>
          <t>Thursday</t>
        </is>
      </c>
      <c r="E370" s="15" t="n">
        <v>368</v>
      </c>
      <c r="F370" s="25" t="n">
        <v>331200</v>
      </c>
      <c r="G370" s="25" t="n">
        <v>92</v>
      </c>
      <c r="H370" s="37" t="n">
        <v>3.326</v>
      </c>
      <c r="I370" s="38">
        <f>H370*0.25</f>
        <v/>
      </c>
      <c r="J370" s="35">
        <f>J369+I370</f>
        <v/>
      </c>
      <c r="K370" s="15" t="inlineStr">
        <is>
          <t>Valid (Smart Meter)</t>
        </is>
      </c>
      <c r="L370" s="26" t="inlineStr">
        <is>
          <t>Dishwasher cycle / TV</t>
        </is>
      </c>
    </row>
    <row r="371">
      <c r="A371" s="15" t="inlineStr">
        <is>
          <t>2025-11-13 20:15:00</t>
        </is>
      </c>
      <c r="B371" s="15" t="inlineStr">
        <is>
          <t>2025-11-13</t>
        </is>
      </c>
      <c r="C371" s="15" t="inlineStr">
        <is>
          <t>20:15</t>
        </is>
      </c>
      <c r="D371" s="15" t="inlineStr">
        <is>
          <t>Thursday</t>
        </is>
      </c>
      <c r="E371" s="15" t="n">
        <v>369</v>
      </c>
      <c r="F371" s="25" t="n">
        <v>332100</v>
      </c>
      <c r="G371" s="25" t="n">
        <v>92.25</v>
      </c>
      <c r="H371" s="37" t="n">
        <v>3.299</v>
      </c>
      <c r="I371" s="38">
        <f>H371*0.25</f>
        <v/>
      </c>
      <c r="J371" s="35">
        <f>J370+I371</f>
        <v/>
      </c>
      <c r="K371" s="15" t="inlineStr">
        <is>
          <t>Valid (Smart Meter)</t>
        </is>
      </c>
      <c r="L371" s="26" t="inlineStr">
        <is>
          <t>Dishwasher cycle / TV</t>
        </is>
      </c>
    </row>
    <row r="372">
      <c r="A372" s="15" t="inlineStr">
        <is>
          <t>2025-11-13 20:30:00</t>
        </is>
      </c>
      <c r="B372" s="15" t="inlineStr">
        <is>
          <t>2025-11-13</t>
        </is>
      </c>
      <c r="C372" s="15" t="inlineStr">
        <is>
          <t>20:30</t>
        </is>
      </c>
      <c r="D372" s="15" t="inlineStr">
        <is>
          <t>Thursday</t>
        </is>
      </c>
      <c r="E372" s="15" t="n">
        <v>370</v>
      </c>
      <c r="F372" s="25" t="n">
        <v>333000</v>
      </c>
      <c r="G372" s="25" t="n">
        <v>92.5</v>
      </c>
      <c r="H372" s="37" t="n">
        <v>3.185</v>
      </c>
      <c r="I372" s="38">
        <f>H372*0.25</f>
        <v/>
      </c>
      <c r="J372" s="35">
        <f>J371+I372</f>
        <v/>
      </c>
      <c r="K372" s="15" t="inlineStr">
        <is>
          <t>Valid (Smart Meter)</t>
        </is>
      </c>
      <c r="L372" s="26" t="inlineStr">
        <is>
          <t>Dishwasher cycle / TV</t>
        </is>
      </c>
    </row>
    <row r="373">
      <c r="A373" s="15" t="inlineStr">
        <is>
          <t>2025-11-13 20:45:00</t>
        </is>
      </c>
      <c r="B373" s="15" t="inlineStr">
        <is>
          <t>2025-11-13</t>
        </is>
      </c>
      <c r="C373" s="15" t="inlineStr">
        <is>
          <t>20:45</t>
        </is>
      </c>
      <c r="D373" s="15" t="inlineStr">
        <is>
          <t>Thursday</t>
        </is>
      </c>
      <c r="E373" s="15" t="n">
        <v>371</v>
      </c>
      <c r="F373" s="25" t="n">
        <v>333900</v>
      </c>
      <c r="G373" s="25" t="n">
        <v>92.75</v>
      </c>
      <c r="H373" s="37" t="n">
        <v>3.309</v>
      </c>
      <c r="I373" s="38">
        <f>H373*0.25</f>
        <v/>
      </c>
      <c r="J373" s="35">
        <f>J372+I373</f>
        <v/>
      </c>
      <c r="K373" s="15" t="inlineStr">
        <is>
          <t>Valid (Smart Meter)</t>
        </is>
      </c>
      <c r="L373" s="26" t="inlineStr">
        <is>
          <t>Dishwasher cycle / TV</t>
        </is>
      </c>
    </row>
    <row r="374">
      <c r="A374" s="12" t="inlineStr">
        <is>
          <t>2025-11-13 21:00:00</t>
        </is>
      </c>
      <c r="B374" s="12" t="inlineStr">
        <is>
          <t>2025-11-13</t>
        </is>
      </c>
      <c r="C374" s="12" t="inlineStr">
        <is>
          <t>21:00</t>
        </is>
      </c>
      <c r="D374" s="12" t="inlineStr">
        <is>
          <t>Thursday</t>
        </is>
      </c>
      <c r="E374" s="12" t="n">
        <v>372</v>
      </c>
      <c r="F374" s="27" t="n">
        <v>334800</v>
      </c>
      <c r="G374" s="27" t="n">
        <v>93</v>
      </c>
      <c r="H374" s="39" t="n">
        <v>3.553</v>
      </c>
      <c r="I374" s="40">
        <f>H374*0.25</f>
        <v/>
      </c>
      <c r="J374" s="34">
        <f>J373+I374</f>
        <v/>
      </c>
      <c r="K374" s="12" t="inlineStr">
        <is>
          <t>Valid (Smart Meter)</t>
        </is>
      </c>
      <c r="L374" s="28" t="inlineStr">
        <is>
          <t>Dishwasher cycle / TV</t>
        </is>
      </c>
    </row>
    <row r="375">
      <c r="A375" s="12" t="inlineStr">
        <is>
          <t>2025-11-13 21:15:00</t>
        </is>
      </c>
      <c r="B375" s="12" t="inlineStr">
        <is>
          <t>2025-11-13</t>
        </is>
      </c>
      <c r="C375" s="12" t="inlineStr">
        <is>
          <t>21:15</t>
        </is>
      </c>
      <c r="D375" s="12" t="inlineStr">
        <is>
          <t>Thursday</t>
        </is>
      </c>
      <c r="E375" s="12" t="n">
        <v>373</v>
      </c>
      <c r="F375" s="27" t="n">
        <v>335700</v>
      </c>
      <c r="G375" s="27" t="n">
        <v>93.25</v>
      </c>
      <c r="H375" s="39" t="n">
        <v>3.581</v>
      </c>
      <c r="I375" s="40">
        <f>H375*0.25</f>
        <v/>
      </c>
      <c r="J375" s="34">
        <f>J374+I375</f>
        <v/>
      </c>
      <c r="K375" s="12" t="inlineStr">
        <is>
          <t>Valid (Smart Meter)</t>
        </is>
      </c>
      <c r="L375" s="28" t="inlineStr">
        <is>
          <t>Dishwasher cycle / TV</t>
        </is>
      </c>
    </row>
    <row r="376">
      <c r="A376" s="12" t="inlineStr">
        <is>
          <t>2025-11-13 21:30:00</t>
        </is>
      </c>
      <c r="B376" s="12" t="inlineStr">
        <is>
          <t>2025-11-13</t>
        </is>
      </c>
      <c r="C376" s="12" t="inlineStr">
        <is>
          <t>21:30</t>
        </is>
      </c>
      <c r="D376" s="12" t="inlineStr">
        <is>
          <t>Thursday</t>
        </is>
      </c>
      <c r="E376" s="12" t="n">
        <v>374</v>
      </c>
      <c r="F376" s="27" t="n">
        <v>336600</v>
      </c>
      <c r="G376" s="27" t="n">
        <v>93.5</v>
      </c>
      <c r="H376" s="39" t="n">
        <v>3.538</v>
      </c>
      <c r="I376" s="40">
        <f>H376*0.25</f>
        <v/>
      </c>
      <c r="J376" s="34">
        <f>J375+I376</f>
        <v/>
      </c>
      <c r="K376" s="12" t="inlineStr">
        <is>
          <t>Valid (Smart Meter)</t>
        </is>
      </c>
      <c r="L376" s="28" t="inlineStr">
        <is>
          <t>Dishwasher cycle / TV</t>
        </is>
      </c>
    </row>
    <row r="377">
      <c r="A377" s="12" t="inlineStr">
        <is>
          <t>2025-11-13 21:45:00</t>
        </is>
      </c>
      <c r="B377" s="12" t="inlineStr">
        <is>
          <t>2025-11-13</t>
        </is>
      </c>
      <c r="C377" s="12" t="inlineStr">
        <is>
          <t>21:45</t>
        </is>
      </c>
      <c r="D377" s="12" t="inlineStr">
        <is>
          <t>Thursday</t>
        </is>
      </c>
      <c r="E377" s="12" t="n">
        <v>375</v>
      </c>
      <c r="F377" s="27" t="n">
        <v>337500</v>
      </c>
      <c r="G377" s="27" t="n">
        <v>93.75</v>
      </c>
      <c r="H377" s="39" t="n">
        <v>1.964</v>
      </c>
      <c r="I377" s="40">
        <f>H377*0.25</f>
        <v/>
      </c>
      <c r="J377" s="34">
        <f>J376+I377</f>
        <v/>
      </c>
      <c r="K377" s="12" t="inlineStr">
        <is>
          <t>Valid (Smart Meter)</t>
        </is>
      </c>
      <c r="L377" s="28" t="inlineStr">
        <is>
          <t>Evening living / Lighting / Heat</t>
        </is>
      </c>
    </row>
    <row r="378">
      <c r="A378" s="15" t="inlineStr">
        <is>
          <t>2025-11-13 22:00:00</t>
        </is>
      </c>
      <c r="B378" s="15" t="inlineStr">
        <is>
          <t>2025-11-13</t>
        </is>
      </c>
      <c r="C378" s="15" t="inlineStr">
        <is>
          <t>22:00</t>
        </is>
      </c>
      <c r="D378" s="15" t="inlineStr">
        <is>
          <t>Thursday</t>
        </is>
      </c>
      <c r="E378" s="15" t="n">
        <v>376</v>
      </c>
      <c r="F378" s="25" t="n">
        <v>338400</v>
      </c>
      <c r="G378" s="25" t="n">
        <v>94</v>
      </c>
      <c r="H378" s="37" t="n">
        <v>1.836</v>
      </c>
      <c r="I378" s="38">
        <f>H378*0.25</f>
        <v/>
      </c>
      <c r="J378" s="35">
        <f>J377+I378</f>
        <v/>
      </c>
      <c r="K378" s="15" t="inlineStr">
        <is>
          <t>Valid (Smart Meter)</t>
        </is>
      </c>
      <c r="L378" s="26" t="inlineStr">
        <is>
          <t>Evening living / Lighting / Heat</t>
        </is>
      </c>
    </row>
    <row r="379">
      <c r="A379" s="15" t="inlineStr">
        <is>
          <t>2025-11-13 22:15:00</t>
        </is>
      </c>
      <c r="B379" s="15" t="inlineStr">
        <is>
          <t>2025-11-13</t>
        </is>
      </c>
      <c r="C379" s="15" t="inlineStr">
        <is>
          <t>22:15</t>
        </is>
      </c>
      <c r="D379" s="15" t="inlineStr">
        <is>
          <t>Thursday</t>
        </is>
      </c>
      <c r="E379" s="15" t="n">
        <v>377</v>
      </c>
      <c r="F379" s="25" t="n">
        <v>339300</v>
      </c>
      <c r="G379" s="25" t="n">
        <v>94.25</v>
      </c>
      <c r="H379" s="37" t="n">
        <v>1.789</v>
      </c>
      <c r="I379" s="38">
        <f>H379*0.25</f>
        <v/>
      </c>
      <c r="J379" s="35">
        <f>J378+I379</f>
        <v/>
      </c>
      <c r="K379" s="15" t="inlineStr">
        <is>
          <t>Valid (Smart Meter)</t>
        </is>
      </c>
      <c r="L379" s="26" t="inlineStr">
        <is>
          <t>Evening living / Lighting / Heat</t>
        </is>
      </c>
    </row>
    <row r="380">
      <c r="A380" s="15" t="inlineStr">
        <is>
          <t>2025-11-13 22:30:00</t>
        </is>
      </c>
      <c r="B380" s="15" t="inlineStr">
        <is>
          <t>2025-11-13</t>
        </is>
      </c>
      <c r="C380" s="15" t="inlineStr">
        <is>
          <t>22:30</t>
        </is>
      </c>
      <c r="D380" s="15" t="inlineStr">
        <is>
          <t>Thursday</t>
        </is>
      </c>
      <c r="E380" s="15" t="n">
        <v>378</v>
      </c>
      <c r="F380" s="25" t="n">
        <v>340200</v>
      </c>
      <c r="G380" s="25" t="n">
        <v>94.5</v>
      </c>
      <c r="H380" s="37" t="n">
        <v>1.774</v>
      </c>
      <c r="I380" s="38">
        <f>H380*0.25</f>
        <v/>
      </c>
      <c r="J380" s="35">
        <f>J379+I380</f>
        <v/>
      </c>
      <c r="K380" s="15" t="inlineStr">
        <is>
          <t>Valid (Smart Meter)</t>
        </is>
      </c>
      <c r="L380" s="26" t="inlineStr">
        <is>
          <t>Evening living / Lighting / Heat</t>
        </is>
      </c>
    </row>
    <row r="381">
      <c r="A381" s="15" t="inlineStr">
        <is>
          <t>2025-11-13 22:45:00</t>
        </is>
      </c>
      <c r="B381" s="15" t="inlineStr">
        <is>
          <t>2025-11-13</t>
        </is>
      </c>
      <c r="C381" s="15" t="inlineStr">
        <is>
          <t>22:45</t>
        </is>
      </c>
      <c r="D381" s="15" t="inlineStr">
        <is>
          <t>Thursday</t>
        </is>
      </c>
      <c r="E381" s="15" t="n">
        <v>379</v>
      </c>
      <c r="F381" s="25" t="n">
        <v>341100</v>
      </c>
      <c r="G381" s="25" t="n">
        <v>94.75</v>
      </c>
      <c r="H381" s="37" t="n">
        <v>0.673</v>
      </c>
      <c r="I381" s="38">
        <f>H381*0.25</f>
        <v/>
      </c>
      <c r="J381" s="35">
        <f>J380+I381</f>
        <v/>
      </c>
      <c r="K381" s="15" t="inlineStr">
        <is>
          <t>Valid (Smart Meter)</t>
        </is>
      </c>
      <c r="L381" s="26" t="inlineStr">
        <is>
          <t>Night baseload / Heating</t>
        </is>
      </c>
    </row>
    <row r="382">
      <c r="A382" s="12" t="inlineStr">
        <is>
          <t>2025-11-13 23:00:00</t>
        </is>
      </c>
      <c r="B382" s="12" t="inlineStr">
        <is>
          <t>2025-11-13</t>
        </is>
      </c>
      <c r="C382" s="12" t="inlineStr">
        <is>
          <t>23:00</t>
        </is>
      </c>
      <c r="D382" s="12" t="inlineStr">
        <is>
          <t>Thursday</t>
        </is>
      </c>
      <c r="E382" s="12" t="n">
        <v>380</v>
      </c>
      <c r="F382" s="27" t="n">
        <v>342000</v>
      </c>
      <c r="G382" s="27" t="n">
        <v>95</v>
      </c>
      <c r="H382" s="39" t="n">
        <v>0.629</v>
      </c>
      <c r="I382" s="40">
        <f>H382*0.25</f>
        <v/>
      </c>
      <c r="J382" s="34">
        <f>J381+I382</f>
        <v/>
      </c>
      <c r="K382" s="12" t="inlineStr">
        <is>
          <t>Valid (Smart Meter)</t>
        </is>
      </c>
      <c r="L382" s="28" t="inlineStr">
        <is>
          <t>Night baseload / Heating</t>
        </is>
      </c>
    </row>
    <row r="383">
      <c r="A383" s="12" t="inlineStr">
        <is>
          <t>2025-11-13 23:15:00</t>
        </is>
      </c>
      <c r="B383" s="12" t="inlineStr">
        <is>
          <t>2025-11-13</t>
        </is>
      </c>
      <c r="C383" s="12" t="inlineStr">
        <is>
          <t>23:15</t>
        </is>
      </c>
      <c r="D383" s="12" t="inlineStr">
        <is>
          <t>Thursday</t>
        </is>
      </c>
      <c r="E383" s="12" t="n">
        <v>381</v>
      </c>
      <c r="F383" s="27" t="n">
        <v>342900</v>
      </c>
      <c r="G383" s="27" t="n">
        <v>95.25</v>
      </c>
      <c r="H383" s="39" t="n">
        <v>0.5570000000000001</v>
      </c>
      <c r="I383" s="40">
        <f>H383*0.25</f>
        <v/>
      </c>
      <c r="J383" s="34">
        <f>J382+I383</f>
        <v/>
      </c>
      <c r="K383" s="12" t="inlineStr">
        <is>
          <t>Valid (Smart Meter)</t>
        </is>
      </c>
      <c r="L383" s="28" t="inlineStr">
        <is>
          <t>Night baseload / Heating</t>
        </is>
      </c>
    </row>
    <row r="384">
      <c r="A384" s="12" t="inlineStr">
        <is>
          <t>2025-11-13 23:30:00</t>
        </is>
      </c>
      <c r="B384" s="12" t="inlineStr">
        <is>
          <t>2025-11-13</t>
        </is>
      </c>
      <c r="C384" s="12" t="inlineStr">
        <is>
          <t>23:30</t>
        </is>
      </c>
      <c r="D384" s="12" t="inlineStr">
        <is>
          <t>Thursday</t>
        </is>
      </c>
      <c r="E384" s="12" t="n">
        <v>382</v>
      </c>
      <c r="F384" s="27" t="n">
        <v>343800</v>
      </c>
      <c r="G384" s="27" t="n">
        <v>95.5</v>
      </c>
      <c r="H384" s="39" t="n">
        <v>0.586</v>
      </c>
      <c r="I384" s="40">
        <f>H384*0.25</f>
        <v/>
      </c>
      <c r="J384" s="34">
        <f>J383+I384</f>
        <v/>
      </c>
      <c r="K384" s="12" t="inlineStr">
        <is>
          <t>Valid (Smart Meter)</t>
        </is>
      </c>
      <c r="L384" s="28" t="inlineStr">
        <is>
          <t>Night baseload / Heating</t>
        </is>
      </c>
    </row>
    <row r="385">
      <c r="A385" s="12" t="inlineStr">
        <is>
          <t>2025-11-13 23:45:00</t>
        </is>
      </c>
      <c r="B385" s="12" t="inlineStr">
        <is>
          <t>2025-11-13</t>
        </is>
      </c>
      <c r="C385" s="12" t="inlineStr">
        <is>
          <t>23:45</t>
        </is>
      </c>
      <c r="D385" s="12" t="inlineStr">
        <is>
          <t>Thursday</t>
        </is>
      </c>
      <c r="E385" s="12" t="n">
        <v>383</v>
      </c>
      <c r="F385" s="27" t="n">
        <v>344700</v>
      </c>
      <c r="G385" s="27" t="n">
        <v>95.75</v>
      </c>
      <c r="H385" s="39" t="n">
        <v>0.509</v>
      </c>
      <c r="I385" s="40">
        <f>H385*0.25</f>
        <v/>
      </c>
      <c r="J385" s="34">
        <f>J384+I385</f>
        <v/>
      </c>
      <c r="K385" s="12" t="inlineStr">
        <is>
          <t>Valid (Smart Meter)</t>
        </is>
      </c>
      <c r="L385" s="28" t="inlineStr">
        <is>
          <t>Night baseload / Heating</t>
        </is>
      </c>
    </row>
    <row r="386">
      <c r="A386" s="15" t="inlineStr">
        <is>
          <t>2025-11-14 00:00:00</t>
        </is>
      </c>
      <c r="B386" s="15" t="inlineStr">
        <is>
          <t>2025-11-14</t>
        </is>
      </c>
      <c r="C386" s="15" t="inlineStr">
        <is>
          <t>00:00</t>
        </is>
      </c>
      <c r="D386" s="15" t="inlineStr">
        <is>
          <t>Friday</t>
        </is>
      </c>
      <c r="E386" s="15" t="n">
        <v>384</v>
      </c>
      <c r="F386" s="25" t="n">
        <v>345600</v>
      </c>
      <c r="G386" s="25" t="n">
        <v>96</v>
      </c>
      <c r="H386" s="37" t="n">
        <v>0.71</v>
      </c>
      <c r="I386" s="38">
        <f>H386*0.25</f>
        <v/>
      </c>
      <c r="J386" s="35">
        <f>J385+I386</f>
        <v/>
      </c>
      <c r="K386" s="15" t="inlineStr">
        <is>
          <t>Valid (Smart Meter)</t>
        </is>
      </c>
      <c r="L386" s="26" t="inlineStr">
        <is>
          <t>Night baseload / Heating</t>
        </is>
      </c>
    </row>
    <row r="387">
      <c r="A387" s="15" t="inlineStr">
        <is>
          <t>2025-11-14 00:15:00</t>
        </is>
      </c>
      <c r="B387" s="15" t="inlineStr">
        <is>
          <t>2025-11-14</t>
        </is>
      </c>
      <c r="C387" s="15" t="inlineStr">
        <is>
          <t>00:15</t>
        </is>
      </c>
      <c r="D387" s="15" t="inlineStr">
        <is>
          <t>Friday</t>
        </is>
      </c>
      <c r="E387" s="15" t="n">
        <v>385</v>
      </c>
      <c r="F387" s="25" t="n">
        <v>346500</v>
      </c>
      <c r="G387" s="25" t="n">
        <v>96.25</v>
      </c>
      <c r="H387" s="37" t="n">
        <v>0.715</v>
      </c>
      <c r="I387" s="38">
        <f>H387*0.25</f>
        <v/>
      </c>
      <c r="J387" s="35">
        <f>J386+I387</f>
        <v/>
      </c>
      <c r="K387" s="15" t="inlineStr">
        <is>
          <t>Valid (Smart Meter)</t>
        </is>
      </c>
      <c r="L387" s="26" t="inlineStr">
        <is>
          <t>Night baseload / Heating</t>
        </is>
      </c>
    </row>
    <row r="388">
      <c r="A388" s="15" t="inlineStr">
        <is>
          <t>2025-11-14 00:30:00</t>
        </is>
      </c>
      <c r="B388" s="15" t="inlineStr">
        <is>
          <t>2025-11-14</t>
        </is>
      </c>
      <c r="C388" s="15" t="inlineStr">
        <is>
          <t>00:30</t>
        </is>
      </c>
      <c r="D388" s="15" t="inlineStr">
        <is>
          <t>Friday</t>
        </is>
      </c>
      <c r="E388" s="15" t="n">
        <v>386</v>
      </c>
      <c r="F388" s="25" t="n">
        <v>347400</v>
      </c>
      <c r="G388" s="25" t="n">
        <v>96.5</v>
      </c>
      <c r="H388" s="37" t="n">
        <v>0.668</v>
      </c>
      <c r="I388" s="38">
        <f>H388*0.25</f>
        <v/>
      </c>
      <c r="J388" s="35">
        <f>J387+I388</f>
        <v/>
      </c>
      <c r="K388" s="15" t="inlineStr">
        <is>
          <t>Valid (Smart Meter)</t>
        </is>
      </c>
      <c r="L388" s="26" t="inlineStr">
        <is>
          <t>Night baseload / Heating</t>
        </is>
      </c>
    </row>
    <row r="389">
      <c r="A389" s="15" t="inlineStr">
        <is>
          <t>2025-11-14 00:45:00</t>
        </is>
      </c>
      <c r="B389" s="15" t="inlineStr">
        <is>
          <t>2025-11-14</t>
        </is>
      </c>
      <c r="C389" s="15" t="inlineStr">
        <is>
          <t>00:45</t>
        </is>
      </c>
      <c r="D389" s="15" t="inlineStr">
        <is>
          <t>Friday</t>
        </is>
      </c>
      <c r="E389" s="15" t="n">
        <v>387</v>
      </c>
      <c r="F389" s="25" t="n">
        <v>348300</v>
      </c>
      <c r="G389" s="25" t="n">
        <v>96.75</v>
      </c>
      <c r="H389" s="37" t="n">
        <v>0.733</v>
      </c>
      <c r="I389" s="38">
        <f>H389*0.25</f>
        <v/>
      </c>
      <c r="J389" s="35">
        <f>J388+I389</f>
        <v/>
      </c>
      <c r="K389" s="15" t="inlineStr">
        <is>
          <t>Valid (Smart Meter)</t>
        </is>
      </c>
      <c r="L389" s="26" t="inlineStr">
        <is>
          <t>Night baseload / Heating</t>
        </is>
      </c>
    </row>
    <row r="390">
      <c r="A390" s="12" t="inlineStr">
        <is>
          <t>2025-11-14 01:00:00</t>
        </is>
      </c>
      <c r="B390" s="12" t="inlineStr">
        <is>
          <t>2025-11-14</t>
        </is>
      </c>
      <c r="C390" s="12" t="inlineStr">
        <is>
          <t>01:00</t>
        </is>
      </c>
      <c r="D390" s="12" t="inlineStr">
        <is>
          <t>Friday</t>
        </is>
      </c>
      <c r="E390" s="12" t="n">
        <v>388</v>
      </c>
      <c r="F390" s="27" t="n">
        <v>349200</v>
      </c>
      <c r="G390" s="27" t="n">
        <v>97</v>
      </c>
      <c r="H390" s="39" t="n">
        <v>0.789</v>
      </c>
      <c r="I390" s="40">
        <f>H390*0.25</f>
        <v/>
      </c>
      <c r="J390" s="34">
        <f>J389+I390</f>
        <v/>
      </c>
      <c r="K390" s="12" t="inlineStr">
        <is>
          <t>Valid (Smart Meter)</t>
        </is>
      </c>
      <c r="L390" s="28" t="inlineStr">
        <is>
          <t>Night baseload / Heating</t>
        </is>
      </c>
    </row>
    <row r="391">
      <c r="A391" s="12" t="inlineStr">
        <is>
          <t>2025-11-14 01:15:00</t>
        </is>
      </c>
      <c r="B391" s="12" t="inlineStr">
        <is>
          <t>2025-11-14</t>
        </is>
      </c>
      <c r="C391" s="12" t="inlineStr">
        <is>
          <t>01:15</t>
        </is>
      </c>
      <c r="D391" s="12" t="inlineStr">
        <is>
          <t>Friday</t>
        </is>
      </c>
      <c r="E391" s="12" t="n">
        <v>389</v>
      </c>
      <c r="F391" s="27" t="n">
        <v>350100</v>
      </c>
      <c r="G391" s="27" t="n">
        <v>97.25</v>
      </c>
      <c r="H391" s="39" t="n">
        <v>0.788</v>
      </c>
      <c r="I391" s="40">
        <f>H391*0.25</f>
        <v/>
      </c>
      <c r="J391" s="34">
        <f>J390+I391</f>
        <v/>
      </c>
      <c r="K391" s="12" t="inlineStr">
        <is>
          <t>Valid (Smart Meter)</t>
        </is>
      </c>
      <c r="L391" s="28" t="inlineStr">
        <is>
          <t>Night baseload / Heating</t>
        </is>
      </c>
    </row>
    <row r="392">
      <c r="A392" s="12" t="inlineStr">
        <is>
          <t>2025-11-14 01:30:00</t>
        </is>
      </c>
      <c r="B392" s="12" t="inlineStr">
        <is>
          <t>2025-11-14</t>
        </is>
      </c>
      <c r="C392" s="12" t="inlineStr">
        <is>
          <t>01:30</t>
        </is>
      </c>
      <c r="D392" s="12" t="inlineStr">
        <is>
          <t>Friday</t>
        </is>
      </c>
      <c r="E392" s="12" t="n">
        <v>390</v>
      </c>
      <c r="F392" s="27" t="n">
        <v>351000</v>
      </c>
      <c r="G392" s="27" t="n">
        <v>97.5</v>
      </c>
      <c r="H392" s="39" t="n">
        <v>0.631</v>
      </c>
      <c r="I392" s="40">
        <f>H392*0.25</f>
        <v/>
      </c>
      <c r="J392" s="34">
        <f>J391+I392</f>
        <v/>
      </c>
      <c r="K392" s="12" t="inlineStr">
        <is>
          <t>Valid (Smart Meter)</t>
        </is>
      </c>
      <c r="L392" s="28" t="inlineStr">
        <is>
          <t>Night baseload / Heating</t>
        </is>
      </c>
    </row>
    <row r="393">
      <c r="A393" s="12" t="inlineStr">
        <is>
          <t>2025-11-14 01:45:00</t>
        </is>
      </c>
      <c r="B393" s="12" t="inlineStr">
        <is>
          <t>2025-11-14</t>
        </is>
      </c>
      <c r="C393" s="12" t="inlineStr">
        <is>
          <t>01:45</t>
        </is>
      </c>
      <c r="D393" s="12" t="inlineStr">
        <is>
          <t>Friday</t>
        </is>
      </c>
      <c r="E393" s="12" t="n">
        <v>391</v>
      </c>
      <c r="F393" s="27" t="n">
        <v>351900</v>
      </c>
      <c r="G393" s="27" t="n">
        <v>97.75</v>
      </c>
      <c r="H393" s="39" t="n">
        <v>0.634</v>
      </c>
      <c r="I393" s="40">
        <f>H393*0.25</f>
        <v/>
      </c>
      <c r="J393" s="34">
        <f>J392+I393</f>
        <v/>
      </c>
      <c r="K393" s="12" t="inlineStr">
        <is>
          <t>Valid (Smart Meter)</t>
        </is>
      </c>
      <c r="L393" s="28" t="inlineStr">
        <is>
          <t>Night baseload / Heating</t>
        </is>
      </c>
    </row>
    <row r="394">
      <c r="A394" s="15" t="inlineStr">
        <is>
          <t>2025-11-14 02:00:00</t>
        </is>
      </c>
      <c r="B394" s="15" t="inlineStr">
        <is>
          <t>2025-11-14</t>
        </is>
      </c>
      <c r="C394" s="15" t="inlineStr">
        <is>
          <t>02:00</t>
        </is>
      </c>
      <c r="D394" s="15" t="inlineStr">
        <is>
          <t>Friday</t>
        </is>
      </c>
      <c r="E394" s="15" t="n">
        <v>392</v>
      </c>
      <c r="F394" s="25" t="n">
        <v>352800</v>
      </c>
      <c r="G394" s="25" t="n">
        <v>98</v>
      </c>
      <c r="H394" s="37" t="n">
        <v>0.644</v>
      </c>
      <c r="I394" s="38">
        <f>H394*0.25</f>
        <v/>
      </c>
      <c r="J394" s="35">
        <f>J393+I394</f>
        <v/>
      </c>
      <c r="K394" s="15" t="inlineStr">
        <is>
          <t>Valid (Smart Meter)</t>
        </is>
      </c>
      <c r="L394" s="26" t="inlineStr">
        <is>
          <t>Night baseload / Heating</t>
        </is>
      </c>
    </row>
    <row r="395">
      <c r="A395" s="15" t="inlineStr">
        <is>
          <t>2025-11-14 02:15:00</t>
        </is>
      </c>
      <c r="B395" s="15" t="inlineStr">
        <is>
          <t>2025-11-14</t>
        </is>
      </c>
      <c r="C395" s="15" t="inlineStr">
        <is>
          <t>02:15</t>
        </is>
      </c>
      <c r="D395" s="15" t="inlineStr">
        <is>
          <t>Friday</t>
        </is>
      </c>
      <c r="E395" s="15" t="n">
        <v>393</v>
      </c>
      <c r="F395" s="25" t="n">
        <v>353700</v>
      </c>
      <c r="G395" s="25" t="n">
        <v>98.25</v>
      </c>
      <c r="H395" s="37" t="n">
        <v>0.61</v>
      </c>
      <c r="I395" s="38">
        <f>H395*0.25</f>
        <v/>
      </c>
      <c r="J395" s="35">
        <f>J394+I395</f>
        <v/>
      </c>
      <c r="K395" s="15" t="inlineStr">
        <is>
          <t>Valid (Smart Meter)</t>
        </is>
      </c>
      <c r="L395" s="26" t="inlineStr">
        <is>
          <t>Night baseload / Heating</t>
        </is>
      </c>
    </row>
    <row r="396">
      <c r="A396" s="15" t="inlineStr">
        <is>
          <t>2025-11-14 02:30:00</t>
        </is>
      </c>
      <c r="B396" s="15" t="inlineStr">
        <is>
          <t>2025-11-14</t>
        </is>
      </c>
      <c r="C396" s="15" t="inlineStr">
        <is>
          <t>02:30</t>
        </is>
      </c>
      <c r="D396" s="15" t="inlineStr">
        <is>
          <t>Friday</t>
        </is>
      </c>
      <c r="E396" s="15" t="n">
        <v>394</v>
      </c>
      <c r="F396" s="25" t="n">
        <v>354600</v>
      </c>
      <c r="G396" s="25" t="n">
        <v>98.5</v>
      </c>
      <c r="H396" s="37" t="n">
        <v>0.464</v>
      </c>
      <c r="I396" s="38">
        <f>H396*0.25</f>
        <v/>
      </c>
      <c r="J396" s="35">
        <f>J395+I396</f>
        <v/>
      </c>
      <c r="K396" s="15" t="inlineStr">
        <is>
          <t>Valid (Smart Meter)</t>
        </is>
      </c>
      <c r="L396" s="26" t="inlineStr">
        <is>
          <t>Night baseload / Heating</t>
        </is>
      </c>
    </row>
    <row r="397">
      <c r="A397" s="15" t="inlineStr">
        <is>
          <t>2025-11-14 02:45:00</t>
        </is>
      </c>
      <c r="B397" s="15" t="inlineStr">
        <is>
          <t>2025-11-14</t>
        </is>
      </c>
      <c r="C397" s="15" t="inlineStr">
        <is>
          <t>02:45</t>
        </is>
      </c>
      <c r="D397" s="15" t="inlineStr">
        <is>
          <t>Friday</t>
        </is>
      </c>
      <c r="E397" s="15" t="n">
        <v>395</v>
      </c>
      <c r="F397" s="25" t="n">
        <v>355500</v>
      </c>
      <c r="G397" s="25" t="n">
        <v>98.75</v>
      </c>
      <c r="H397" s="37" t="n">
        <v>0.536</v>
      </c>
      <c r="I397" s="38">
        <f>H397*0.25</f>
        <v/>
      </c>
      <c r="J397" s="35">
        <f>J396+I397</f>
        <v/>
      </c>
      <c r="K397" s="15" t="inlineStr">
        <is>
          <t>Valid (Smart Meter)</t>
        </is>
      </c>
      <c r="L397" s="26" t="inlineStr">
        <is>
          <t>Night baseload / Heating</t>
        </is>
      </c>
    </row>
    <row r="398">
      <c r="A398" s="12" t="inlineStr">
        <is>
          <t>2025-11-14 03:00:00</t>
        </is>
      </c>
      <c r="B398" s="12" t="inlineStr">
        <is>
          <t>2025-11-14</t>
        </is>
      </c>
      <c r="C398" s="12" t="inlineStr">
        <is>
          <t>03:00</t>
        </is>
      </c>
      <c r="D398" s="12" t="inlineStr">
        <is>
          <t>Friday</t>
        </is>
      </c>
      <c r="E398" s="12" t="n">
        <v>396</v>
      </c>
      <c r="F398" s="27" t="n">
        <v>356400</v>
      </c>
      <c r="G398" s="27" t="n">
        <v>99</v>
      </c>
      <c r="H398" s="39" t="n">
        <v>0.622</v>
      </c>
      <c r="I398" s="40">
        <f>H398*0.25</f>
        <v/>
      </c>
      <c r="J398" s="34">
        <f>J397+I398</f>
        <v/>
      </c>
      <c r="K398" s="12" t="inlineStr">
        <is>
          <t>Valid (Smart Meter)</t>
        </is>
      </c>
      <c r="L398" s="28" t="inlineStr">
        <is>
          <t>Night baseload / Heating</t>
        </is>
      </c>
    </row>
    <row r="399">
      <c r="A399" s="12" t="inlineStr">
        <is>
          <t>2025-11-14 03:15:00</t>
        </is>
      </c>
      <c r="B399" s="12" t="inlineStr">
        <is>
          <t>2025-11-14</t>
        </is>
      </c>
      <c r="C399" s="12" t="inlineStr">
        <is>
          <t>03:15</t>
        </is>
      </c>
      <c r="D399" s="12" t="inlineStr">
        <is>
          <t>Friday</t>
        </is>
      </c>
      <c r="E399" s="12" t="n">
        <v>397</v>
      </c>
      <c r="F399" s="27" t="n">
        <v>357300</v>
      </c>
      <c r="G399" s="27" t="n">
        <v>99.25</v>
      </c>
      <c r="H399" s="39" t="n">
        <v>0.505</v>
      </c>
      <c r="I399" s="40">
        <f>H399*0.25</f>
        <v/>
      </c>
      <c r="J399" s="34">
        <f>J398+I399</f>
        <v/>
      </c>
      <c r="K399" s="12" t="inlineStr">
        <is>
          <t>Valid (Smart Meter)</t>
        </is>
      </c>
      <c r="L399" s="28" t="inlineStr">
        <is>
          <t>Night baseload / Heating</t>
        </is>
      </c>
    </row>
    <row r="400">
      <c r="A400" s="12" t="inlineStr">
        <is>
          <t>2025-11-14 03:30:00</t>
        </is>
      </c>
      <c r="B400" s="12" t="inlineStr">
        <is>
          <t>2025-11-14</t>
        </is>
      </c>
      <c r="C400" s="12" t="inlineStr">
        <is>
          <t>03:30</t>
        </is>
      </c>
      <c r="D400" s="12" t="inlineStr">
        <is>
          <t>Friday</t>
        </is>
      </c>
      <c r="E400" s="12" t="n">
        <v>398</v>
      </c>
      <c r="F400" s="27" t="n">
        <v>358200</v>
      </c>
      <c r="G400" s="27" t="n">
        <v>99.5</v>
      </c>
      <c r="H400" s="39" t="n">
        <v>0.553</v>
      </c>
      <c r="I400" s="40">
        <f>H400*0.25</f>
        <v/>
      </c>
      <c r="J400" s="34">
        <f>J399+I400</f>
        <v/>
      </c>
      <c r="K400" s="12" t="inlineStr">
        <is>
          <t>Valid (Smart Meter)</t>
        </is>
      </c>
      <c r="L400" s="28" t="inlineStr">
        <is>
          <t>Night baseload / Heating</t>
        </is>
      </c>
    </row>
    <row r="401">
      <c r="A401" s="12" t="inlineStr">
        <is>
          <t>2025-11-14 03:45:00</t>
        </is>
      </c>
      <c r="B401" s="12" t="inlineStr">
        <is>
          <t>2025-11-14</t>
        </is>
      </c>
      <c r="C401" s="12" t="inlineStr">
        <is>
          <t>03:45</t>
        </is>
      </c>
      <c r="D401" s="12" t="inlineStr">
        <is>
          <t>Friday</t>
        </is>
      </c>
      <c r="E401" s="12" t="n">
        <v>399</v>
      </c>
      <c r="F401" s="27" t="n">
        <v>359100</v>
      </c>
      <c r="G401" s="27" t="n">
        <v>99.75</v>
      </c>
      <c r="H401" s="39" t="n">
        <v>0.601</v>
      </c>
      <c r="I401" s="40">
        <f>H401*0.25</f>
        <v/>
      </c>
      <c r="J401" s="34">
        <f>J400+I401</f>
        <v/>
      </c>
      <c r="K401" s="12" t="inlineStr">
        <is>
          <t>Valid (Smart Meter)</t>
        </is>
      </c>
      <c r="L401" s="28" t="inlineStr">
        <is>
          <t>Night baseload / Heating</t>
        </is>
      </c>
    </row>
    <row r="402">
      <c r="A402" s="15" t="inlineStr">
        <is>
          <t>2025-11-14 04:00:00</t>
        </is>
      </c>
      <c r="B402" s="15" t="inlineStr">
        <is>
          <t>2025-11-14</t>
        </is>
      </c>
      <c r="C402" s="15" t="inlineStr">
        <is>
          <t>04:00</t>
        </is>
      </c>
      <c r="D402" s="15" t="inlineStr">
        <is>
          <t>Friday</t>
        </is>
      </c>
      <c r="E402" s="15" t="n">
        <v>400</v>
      </c>
      <c r="F402" s="25" t="n">
        <v>360000</v>
      </c>
      <c r="G402" s="25" t="n">
        <v>100</v>
      </c>
      <c r="H402" s="37" t="n">
        <v>0.647</v>
      </c>
      <c r="I402" s="38">
        <f>H402*0.25</f>
        <v/>
      </c>
      <c r="J402" s="35">
        <f>J401+I402</f>
        <v/>
      </c>
      <c r="K402" s="15" t="inlineStr">
        <is>
          <t>Valid (Smart Meter)</t>
        </is>
      </c>
      <c r="L402" s="26" t="inlineStr">
        <is>
          <t>Night baseload / Heating</t>
        </is>
      </c>
    </row>
    <row r="403">
      <c r="A403" s="15" t="inlineStr">
        <is>
          <t>2025-11-14 04:15:00</t>
        </is>
      </c>
      <c r="B403" s="15" t="inlineStr">
        <is>
          <t>2025-11-14</t>
        </is>
      </c>
      <c r="C403" s="15" t="inlineStr">
        <is>
          <t>04:15</t>
        </is>
      </c>
      <c r="D403" s="15" t="inlineStr">
        <is>
          <t>Friday</t>
        </is>
      </c>
      <c r="E403" s="15" t="n">
        <v>401</v>
      </c>
      <c r="F403" s="25" t="n">
        <v>360900</v>
      </c>
      <c r="G403" s="25" t="n">
        <v>100.25</v>
      </c>
      <c r="H403" s="37" t="n">
        <v>0.6919999999999999</v>
      </c>
      <c r="I403" s="38">
        <f>H403*0.25</f>
        <v/>
      </c>
      <c r="J403" s="35">
        <f>J402+I403</f>
        <v/>
      </c>
      <c r="K403" s="15" t="inlineStr">
        <is>
          <t>Valid (Smart Meter)</t>
        </is>
      </c>
      <c r="L403" s="26" t="inlineStr">
        <is>
          <t>Night baseload / Heating</t>
        </is>
      </c>
    </row>
    <row r="404">
      <c r="A404" s="15" t="inlineStr">
        <is>
          <t>2025-11-14 04:30:00</t>
        </is>
      </c>
      <c r="B404" s="15" t="inlineStr">
        <is>
          <t>2025-11-14</t>
        </is>
      </c>
      <c r="C404" s="15" t="inlineStr">
        <is>
          <t>04:30</t>
        </is>
      </c>
      <c r="D404" s="15" t="inlineStr">
        <is>
          <t>Friday</t>
        </is>
      </c>
      <c r="E404" s="15" t="n">
        <v>402</v>
      </c>
      <c r="F404" s="25" t="n">
        <v>361800</v>
      </c>
      <c r="G404" s="25" t="n">
        <v>100.5</v>
      </c>
      <c r="H404" s="37" t="n">
        <v>0.727</v>
      </c>
      <c r="I404" s="38">
        <f>H404*0.25</f>
        <v/>
      </c>
      <c r="J404" s="35">
        <f>J403+I404</f>
        <v/>
      </c>
      <c r="K404" s="15" t="inlineStr">
        <is>
          <t>Valid (Smart Meter)</t>
        </is>
      </c>
      <c r="L404" s="26" t="inlineStr">
        <is>
          <t>Night baseload / Heating</t>
        </is>
      </c>
    </row>
    <row r="405">
      <c r="A405" s="15" t="inlineStr">
        <is>
          <t>2025-11-14 04:45:00</t>
        </is>
      </c>
      <c r="B405" s="15" t="inlineStr">
        <is>
          <t>2025-11-14</t>
        </is>
      </c>
      <c r="C405" s="15" t="inlineStr">
        <is>
          <t>04:45</t>
        </is>
      </c>
      <c r="D405" s="15" t="inlineStr">
        <is>
          <t>Friday</t>
        </is>
      </c>
      <c r="E405" s="15" t="n">
        <v>403</v>
      </c>
      <c r="F405" s="25" t="n">
        <v>362700</v>
      </c>
      <c r="G405" s="25" t="n">
        <v>100.75</v>
      </c>
      <c r="H405" s="37" t="n">
        <v>0.777</v>
      </c>
      <c r="I405" s="38">
        <f>H405*0.25</f>
        <v/>
      </c>
      <c r="J405" s="35">
        <f>J404+I405</f>
        <v/>
      </c>
      <c r="K405" s="15" t="inlineStr">
        <is>
          <t>Valid (Smart Meter)</t>
        </is>
      </c>
      <c r="L405" s="26" t="inlineStr">
        <is>
          <t>Night baseload / Heating</t>
        </is>
      </c>
    </row>
    <row r="406">
      <c r="A406" s="12" t="inlineStr">
        <is>
          <t>2025-11-14 05:00:00</t>
        </is>
      </c>
      <c r="B406" s="12" t="inlineStr">
        <is>
          <t>2025-11-14</t>
        </is>
      </c>
      <c r="C406" s="12" t="inlineStr">
        <is>
          <t>05:00</t>
        </is>
      </c>
      <c r="D406" s="12" t="inlineStr">
        <is>
          <t>Friday</t>
        </is>
      </c>
      <c r="E406" s="12" t="n">
        <v>404</v>
      </c>
      <c r="F406" s="27" t="n">
        <v>363600</v>
      </c>
      <c r="G406" s="27" t="n">
        <v>101</v>
      </c>
      <c r="H406" s="39" t="n">
        <v>0.68</v>
      </c>
      <c r="I406" s="40">
        <f>H406*0.25</f>
        <v/>
      </c>
      <c r="J406" s="34">
        <f>J405+I406</f>
        <v/>
      </c>
      <c r="K406" s="12" t="inlineStr">
        <is>
          <t>Valid (Smart Meter)</t>
        </is>
      </c>
      <c r="L406" s="28" t="inlineStr">
        <is>
          <t>Night baseload / Heating</t>
        </is>
      </c>
    </row>
    <row r="407">
      <c r="A407" s="12" t="inlineStr">
        <is>
          <t>2025-11-14 05:15:00</t>
        </is>
      </c>
      <c r="B407" s="12" t="inlineStr">
        <is>
          <t>2025-11-14</t>
        </is>
      </c>
      <c r="C407" s="12" t="inlineStr">
        <is>
          <t>05:15</t>
        </is>
      </c>
      <c r="D407" s="12" t="inlineStr">
        <is>
          <t>Friday</t>
        </is>
      </c>
      <c r="E407" s="12" t="n">
        <v>405</v>
      </c>
      <c r="F407" s="27" t="n">
        <v>364500</v>
      </c>
      <c r="G407" s="27" t="n">
        <v>101.25</v>
      </c>
      <c r="H407" s="39" t="n">
        <v>0.698</v>
      </c>
      <c r="I407" s="40">
        <f>H407*0.25</f>
        <v/>
      </c>
      <c r="J407" s="34">
        <f>J406+I407</f>
        <v/>
      </c>
      <c r="K407" s="12" t="inlineStr">
        <is>
          <t>Valid (Smart Meter)</t>
        </is>
      </c>
      <c r="L407" s="28" t="inlineStr">
        <is>
          <t>Night baseload / Heating</t>
        </is>
      </c>
    </row>
    <row r="408">
      <c r="A408" s="12" t="inlineStr">
        <is>
          <t>2025-11-14 05:30:00</t>
        </is>
      </c>
      <c r="B408" s="12" t="inlineStr">
        <is>
          <t>2025-11-14</t>
        </is>
      </c>
      <c r="C408" s="12" t="inlineStr">
        <is>
          <t>05:30</t>
        </is>
      </c>
      <c r="D408" s="12" t="inlineStr">
        <is>
          <t>Friday</t>
        </is>
      </c>
      <c r="E408" s="12" t="n">
        <v>406</v>
      </c>
      <c r="F408" s="27" t="n">
        <v>365400</v>
      </c>
      <c r="G408" s="27" t="n">
        <v>101.5</v>
      </c>
      <c r="H408" s="39" t="n">
        <v>0.701</v>
      </c>
      <c r="I408" s="40">
        <f>H408*0.25</f>
        <v/>
      </c>
      <c r="J408" s="34">
        <f>J407+I408</f>
        <v/>
      </c>
      <c r="K408" s="12" t="inlineStr">
        <is>
          <t>Valid (Smart Meter)</t>
        </is>
      </c>
      <c r="L408" s="28" t="inlineStr">
        <is>
          <t>Night baseload / Heating</t>
        </is>
      </c>
    </row>
    <row r="409">
      <c r="A409" s="12" t="inlineStr">
        <is>
          <t>2025-11-14 05:45:00</t>
        </is>
      </c>
      <c r="B409" s="12" t="inlineStr">
        <is>
          <t>2025-11-14</t>
        </is>
      </c>
      <c r="C409" s="12" t="inlineStr">
        <is>
          <t>05:45</t>
        </is>
      </c>
      <c r="D409" s="12" t="inlineStr">
        <is>
          <t>Friday</t>
        </is>
      </c>
      <c r="E409" s="12" t="n">
        <v>407</v>
      </c>
      <c r="F409" s="27" t="n">
        <v>366300</v>
      </c>
      <c r="G409" s="27" t="n">
        <v>101.75</v>
      </c>
      <c r="H409" s="39" t="n">
        <v>0.695</v>
      </c>
      <c r="I409" s="40">
        <f>H409*0.25</f>
        <v/>
      </c>
      <c r="J409" s="34">
        <f>J408+I409</f>
        <v/>
      </c>
      <c r="K409" s="12" t="inlineStr">
        <is>
          <t>Valid (Smart Meter)</t>
        </is>
      </c>
      <c r="L409" s="28" t="inlineStr">
        <is>
          <t>Night baseload / Heating</t>
        </is>
      </c>
    </row>
    <row r="410">
      <c r="A410" s="15" t="inlineStr">
        <is>
          <t>2025-11-14 06:00:00</t>
        </is>
      </c>
      <c r="B410" s="15" t="inlineStr">
        <is>
          <t>2025-11-14</t>
        </is>
      </c>
      <c r="C410" s="15" t="inlineStr">
        <is>
          <t>06:00</t>
        </is>
      </c>
      <c r="D410" s="15" t="inlineStr">
        <is>
          <t>Friday</t>
        </is>
      </c>
      <c r="E410" s="15" t="n">
        <v>408</v>
      </c>
      <c r="F410" s="25" t="n">
        <v>367200</v>
      </c>
      <c r="G410" s="25" t="n">
        <v>102</v>
      </c>
      <c r="H410" s="37" t="n">
        <v>0.646</v>
      </c>
      <c r="I410" s="38">
        <f>H410*0.25</f>
        <v/>
      </c>
      <c r="J410" s="35">
        <f>J409+I410</f>
        <v/>
      </c>
      <c r="K410" s="15" t="inlineStr">
        <is>
          <t>Valid (Smart Meter)</t>
        </is>
      </c>
      <c r="L410" s="26" t="inlineStr">
        <is>
          <t>Night baseload / Heating</t>
        </is>
      </c>
    </row>
    <row r="411">
      <c r="A411" s="15" t="inlineStr">
        <is>
          <t>2025-11-14 06:15:00</t>
        </is>
      </c>
      <c r="B411" s="15" t="inlineStr">
        <is>
          <t>2025-11-14</t>
        </is>
      </c>
      <c r="C411" s="15" t="inlineStr">
        <is>
          <t>06:15</t>
        </is>
      </c>
      <c r="D411" s="15" t="inlineStr">
        <is>
          <t>Friday</t>
        </is>
      </c>
      <c r="E411" s="15" t="n">
        <v>409</v>
      </c>
      <c r="F411" s="25" t="n">
        <v>368100</v>
      </c>
      <c r="G411" s="25" t="n">
        <v>102.25</v>
      </c>
      <c r="H411" s="37" t="n">
        <v>0.571</v>
      </c>
      <c r="I411" s="38">
        <f>H411*0.25</f>
        <v/>
      </c>
      <c r="J411" s="35">
        <f>J410+I411</f>
        <v/>
      </c>
      <c r="K411" s="15" t="inlineStr">
        <is>
          <t>Valid (Smart Meter)</t>
        </is>
      </c>
      <c r="L411" s="26" t="inlineStr">
        <is>
          <t>Night baseload / Heating</t>
        </is>
      </c>
    </row>
    <row r="412">
      <c r="A412" s="15" t="inlineStr">
        <is>
          <t>2025-11-14 06:30:00</t>
        </is>
      </c>
      <c r="B412" s="15" t="inlineStr">
        <is>
          <t>2025-11-14</t>
        </is>
      </c>
      <c r="C412" s="15" t="inlineStr">
        <is>
          <t>06:30</t>
        </is>
      </c>
      <c r="D412" s="15" t="inlineStr">
        <is>
          <t>Friday</t>
        </is>
      </c>
      <c r="E412" s="15" t="n">
        <v>410</v>
      </c>
      <c r="F412" s="25" t="n">
        <v>369000</v>
      </c>
      <c r="G412" s="25" t="n">
        <v>102.5</v>
      </c>
      <c r="H412" s="37" t="n">
        <v>1.572</v>
      </c>
      <c r="I412" s="38">
        <f>H412*0.25</f>
        <v/>
      </c>
      <c r="J412" s="35">
        <f>J411+I412</f>
        <v/>
      </c>
      <c r="K412" s="15" t="inlineStr">
        <is>
          <t>Valid (Smart Meter)</t>
        </is>
      </c>
      <c r="L412" s="26" t="inlineStr">
        <is>
          <t>Morning routine (Kettle/Toaster/Lighting)</t>
        </is>
      </c>
    </row>
    <row r="413">
      <c r="A413" s="15" t="inlineStr">
        <is>
          <t>2025-11-14 06:45:00</t>
        </is>
      </c>
      <c r="B413" s="15" t="inlineStr">
        <is>
          <t>2025-11-14</t>
        </is>
      </c>
      <c r="C413" s="15" t="inlineStr">
        <is>
          <t>06:45</t>
        </is>
      </c>
      <c r="D413" s="15" t="inlineStr">
        <is>
          <t>Friday</t>
        </is>
      </c>
      <c r="E413" s="15" t="n">
        <v>411</v>
      </c>
      <c r="F413" s="25" t="n">
        <v>369900</v>
      </c>
      <c r="G413" s="25" t="n">
        <v>102.75</v>
      </c>
      <c r="H413" s="37" t="n">
        <v>1.558</v>
      </c>
      <c r="I413" s="38">
        <f>H413*0.25</f>
        <v/>
      </c>
      <c r="J413" s="35">
        <f>J412+I413</f>
        <v/>
      </c>
      <c r="K413" s="15" t="inlineStr">
        <is>
          <t>Valid (Smart Meter)</t>
        </is>
      </c>
      <c r="L413" s="26" t="inlineStr">
        <is>
          <t>Morning routine (Kettle/Toaster/Lighting)</t>
        </is>
      </c>
    </row>
    <row r="414">
      <c r="A414" s="12" t="inlineStr">
        <is>
          <t>2025-11-14 07:00:00</t>
        </is>
      </c>
      <c r="B414" s="12" t="inlineStr">
        <is>
          <t>2025-11-14</t>
        </is>
      </c>
      <c r="C414" s="12" t="inlineStr">
        <is>
          <t>07:00</t>
        </is>
      </c>
      <c r="D414" s="12" t="inlineStr">
        <is>
          <t>Friday</t>
        </is>
      </c>
      <c r="E414" s="12" t="n">
        <v>412</v>
      </c>
      <c r="F414" s="27" t="n">
        <v>370800</v>
      </c>
      <c r="G414" s="27" t="n">
        <v>103</v>
      </c>
      <c r="H414" s="39" t="n">
        <v>3.322</v>
      </c>
      <c r="I414" s="40">
        <f>H414*0.25</f>
        <v/>
      </c>
      <c r="J414" s="34">
        <f>J413+I414</f>
        <v/>
      </c>
      <c r="K414" s="12" t="inlineStr">
        <is>
          <t>Valid (Smart Meter)</t>
        </is>
      </c>
      <c r="L414" s="28" t="inlineStr">
        <is>
          <t>Breakfast &amp; Water heater cycle</t>
        </is>
      </c>
    </row>
    <row r="415">
      <c r="A415" s="12" t="inlineStr">
        <is>
          <t>2025-11-14 07:15:00</t>
        </is>
      </c>
      <c r="B415" s="12" t="inlineStr">
        <is>
          <t>2025-11-14</t>
        </is>
      </c>
      <c r="C415" s="12" t="inlineStr">
        <is>
          <t>07:15</t>
        </is>
      </c>
      <c r="D415" s="12" t="inlineStr">
        <is>
          <t>Friday</t>
        </is>
      </c>
      <c r="E415" s="12" t="n">
        <v>413</v>
      </c>
      <c r="F415" s="27" t="n">
        <v>371700</v>
      </c>
      <c r="G415" s="27" t="n">
        <v>103.25</v>
      </c>
      <c r="H415" s="39" t="n">
        <v>3.071</v>
      </c>
      <c r="I415" s="40">
        <f>H415*0.25</f>
        <v/>
      </c>
      <c r="J415" s="34">
        <f>J414+I415</f>
        <v/>
      </c>
      <c r="K415" s="12" t="inlineStr">
        <is>
          <t>Valid (Smart Meter)</t>
        </is>
      </c>
      <c r="L415" s="28" t="inlineStr">
        <is>
          <t>Breakfast &amp; Water heater cycle</t>
        </is>
      </c>
    </row>
    <row r="416">
      <c r="A416" s="12" t="inlineStr">
        <is>
          <t>2025-11-14 07:30:00</t>
        </is>
      </c>
      <c r="B416" s="12" t="inlineStr">
        <is>
          <t>2025-11-14</t>
        </is>
      </c>
      <c r="C416" s="12" t="inlineStr">
        <is>
          <t>07:30</t>
        </is>
      </c>
      <c r="D416" s="12" t="inlineStr">
        <is>
          <t>Friday</t>
        </is>
      </c>
      <c r="E416" s="12" t="n">
        <v>414</v>
      </c>
      <c r="F416" s="27" t="n">
        <v>372600</v>
      </c>
      <c r="G416" s="27" t="n">
        <v>103.5</v>
      </c>
      <c r="H416" s="39" t="n">
        <v>2.885</v>
      </c>
      <c r="I416" s="40">
        <f>H416*0.25</f>
        <v/>
      </c>
      <c r="J416" s="34">
        <f>J415+I416</f>
        <v/>
      </c>
      <c r="K416" s="12" t="inlineStr">
        <is>
          <t>Valid (Smart Meter)</t>
        </is>
      </c>
      <c r="L416" s="28" t="inlineStr">
        <is>
          <t>Breakfast &amp; Water heater cycle</t>
        </is>
      </c>
    </row>
    <row r="417">
      <c r="A417" s="12" t="inlineStr">
        <is>
          <t>2025-11-14 07:45:00</t>
        </is>
      </c>
      <c r="B417" s="12" t="inlineStr">
        <is>
          <t>2025-11-14</t>
        </is>
      </c>
      <c r="C417" s="12" t="inlineStr">
        <is>
          <t>07:45</t>
        </is>
      </c>
      <c r="D417" s="12" t="inlineStr">
        <is>
          <t>Friday</t>
        </is>
      </c>
      <c r="E417" s="12" t="n">
        <v>415</v>
      </c>
      <c r="F417" s="27" t="n">
        <v>373500</v>
      </c>
      <c r="G417" s="27" t="n">
        <v>103.75</v>
      </c>
      <c r="H417" s="39" t="n">
        <v>1.385</v>
      </c>
      <c r="I417" s="40">
        <f>H417*0.25</f>
        <v/>
      </c>
      <c r="J417" s="34">
        <f>J416+I417</f>
        <v/>
      </c>
      <c r="K417" s="12" t="inlineStr">
        <is>
          <t>Valid (Smart Meter)</t>
        </is>
      </c>
      <c r="L417" s="28" t="inlineStr">
        <is>
          <t>Morning routine (Kettle/Toaster/Lighting)</t>
        </is>
      </c>
    </row>
    <row r="418">
      <c r="A418" s="15" t="inlineStr">
        <is>
          <t>2025-11-14 08:00:00</t>
        </is>
      </c>
      <c r="B418" s="15" t="inlineStr">
        <is>
          <t>2025-11-14</t>
        </is>
      </c>
      <c r="C418" s="15" t="inlineStr">
        <is>
          <t>08:00</t>
        </is>
      </c>
      <c r="D418" s="15" t="inlineStr">
        <is>
          <t>Friday</t>
        </is>
      </c>
      <c r="E418" s="15" t="n">
        <v>416</v>
      </c>
      <c r="F418" s="25" t="n">
        <v>374400</v>
      </c>
      <c r="G418" s="25" t="n">
        <v>104</v>
      </c>
      <c r="H418" s="37" t="n">
        <v>1.302</v>
      </c>
      <c r="I418" s="38">
        <f>H418*0.25</f>
        <v/>
      </c>
      <c r="J418" s="35">
        <f>J417+I418</f>
        <v/>
      </c>
      <c r="K418" s="15" t="inlineStr">
        <is>
          <t>Valid (Smart Meter)</t>
        </is>
      </c>
      <c r="L418" s="26" t="inlineStr">
        <is>
          <t>Morning routine (Kettle/Toaster/Lighting)</t>
        </is>
      </c>
    </row>
    <row r="419">
      <c r="A419" s="15" t="inlineStr">
        <is>
          <t>2025-11-14 08:15:00</t>
        </is>
      </c>
      <c r="B419" s="15" t="inlineStr">
        <is>
          <t>2025-11-14</t>
        </is>
      </c>
      <c r="C419" s="15" t="inlineStr">
        <is>
          <t>08:15</t>
        </is>
      </c>
      <c r="D419" s="15" t="inlineStr">
        <is>
          <t>Friday</t>
        </is>
      </c>
      <c r="E419" s="15" t="n">
        <v>417</v>
      </c>
      <c r="F419" s="25" t="n">
        <v>375300</v>
      </c>
      <c r="G419" s="25" t="n">
        <v>104.25</v>
      </c>
      <c r="H419" s="37" t="n">
        <v>1.225</v>
      </c>
      <c r="I419" s="38">
        <f>H419*0.25</f>
        <v/>
      </c>
      <c r="J419" s="35">
        <f>J418+I419</f>
        <v/>
      </c>
      <c r="K419" s="15" t="inlineStr">
        <is>
          <t>Valid (Smart Meter)</t>
        </is>
      </c>
      <c r="L419" s="26" t="inlineStr">
        <is>
          <t>Morning routine (Kettle/Toaster/Lighting)</t>
        </is>
      </c>
    </row>
    <row r="420">
      <c r="A420" s="15" t="inlineStr">
        <is>
          <t>2025-11-14 08:30:00</t>
        </is>
      </c>
      <c r="B420" s="15" t="inlineStr">
        <is>
          <t>2025-11-14</t>
        </is>
      </c>
      <c r="C420" s="15" t="inlineStr">
        <is>
          <t>08:30</t>
        </is>
      </c>
      <c r="D420" s="15" t="inlineStr">
        <is>
          <t>Friday</t>
        </is>
      </c>
      <c r="E420" s="15" t="n">
        <v>418</v>
      </c>
      <c r="F420" s="25" t="n">
        <v>376200</v>
      </c>
      <c r="G420" s="25" t="n">
        <v>104.5</v>
      </c>
      <c r="H420" s="37" t="n">
        <v>1.439</v>
      </c>
      <c r="I420" s="38">
        <f>H420*0.25</f>
        <v/>
      </c>
      <c r="J420" s="35">
        <f>J419+I420</f>
        <v/>
      </c>
      <c r="K420" s="15" t="inlineStr">
        <is>
          <t>Valid (Smart Meter)</t>
        </is>
      </c>
      <c r="L420" s="26" t="inlineStr">
        <is>
          <t>Morning routine (Kettle/Toaster/Lighting)</t>
        </is>
      </c>
    </row>
    <row r="421">
      <c r="A421" s="15" t="inlineStr">
        <is>
          <t>2025-11-14 08:45:00</t>
        </is>
      </c>
      <c r="B421" s="15" t="inlineStr">
        <is>
          <t>2025-11-14</t>
        </is>
      </c>
      <c r="C421" s="15" t="inlineStr">
        <is>
          <t>08:45</t>
        </is>
      </c>
      <c r="D421" s="15" t="inlineStr">
        <is>
          <t>Friday</t>
        </is>
      </c>
      <c r="E421" s="15" t="n">
        <v>419</v>
      </c>
      <c r="F421" s="25" t="n">
        <v>377100</v>
      </c>
      <c r="G421" s="25" t="n">
        <v>104.75</v>
      </c>
      <c r="H421" s="37" t="n">
        <v>0.6</v>
      </c>
      <c r="I421" s="38">
        <f>H421*0.25</f>
        <v/>
      </c>
      <c r="J421" s="35">
        <f>J420+I421</f>
        <v/>
      </c>
      <c r="K421" s="15" t="inlineStr">
        <is>
          <t>Valid (Smart Meter)</t>
        </is>
      </c>
      <c r="L421" s="26" t="inlineStr">
        <is>
          <t>Daytime low activity / Home office</t>
        </is>
      </c>
    </row>
    <row r="422">
      <c r="A422" s="12" t="inlineStr">
        <is>
          <t>2025-11-14 09:00:00</t>
        </is>
      </c>
      <c r="B422" s="12" t="inlineStr">
        <is>
          <t>2025-11-14</t>
        </is>
      </c>
      <c r="C422" s="12" t="inlineStr">
        <is>
          <t>09:00</t>
        </is>
      </c>
      <c r="D422" s="12" t="inlineStr">
        <is>
          <t>Friday</t>
        </is>
      </c>
      <c r="E422" s="12" t="n">
        <v>420</v>
      </c>
      <c r="F422" s="27" t="n">
        <v>378000</v>
      </c>
      <c r="G422" s="27" t="n">
        <v>105</v>
      </c>
      <c r="H422" s="39" t="n">
        <v>0.5679999999999999</v>
      </c>
      <c r="I422" s="40">
        <f>H422*0.25</f>
        <v/>
      </c>
      <c r="J422" s="34">
        <f>J421+I422</f>
        <v/>
      </c>
      <c r="K422" s="12" t="inlineStr">
        <is>
          <t>Valid (Smart Meter)</t>
        </is>
      </c>
      <c r="L422" s="28" t="inlineStr">
        <is>
          <t>Daytime low activity / Home office</t>
        </is>
      </c>
    </row>
    <row r="423">
      <c r="A423" s="12" t="inlineStr">
        <is>
          <t>2025-11-14 09:15:00</t>
        </is>
      </c>
      <c r="B423" s="12" t="inlineStr">
        <is>
          <t>2025-11-14</t>
        </is>
      </c>
      <c r="C423" s="12" t="inlineStr">
        <is>
          <t>09:15</t>
        </is>
      </c>
      <c r="D423" s="12" t="inlineStr">
        <is>
          <t>Friday</t>
        </is>
      </c>
      <c r="E423" s="12" t="n">
        <v>421</v>
      </c>
      <c r="F423" s="27" t="n">
        <v>378900</v>
      </c>
      <c r="G423" s="27" t="n">
        <v>105.25</v>
      </c>
      <c r="H423" s="39" t="n">
        <v>0.638</v>
      </c>
      <c r="I423" s="40">
        <f>H423*0.25</f>
        <v/>
      </c>
      <c r="J423" s="34">
        <f>J422+I423</f>
        <v/>
      </c>
      <c r="K423" s="12" t="inlineStr">
        <is>
          <t>Valid (Smart Meter)</t>
        </is>
      </c>
      <c r="L423" s="28" t="inlineStr">
        <is>
          <t>Daytime low activity / Home office</t>
        </is>
      </c>
    </row>
    <row r="424">
      <c r="A424" s="12" t="inlineStr">
        <is>
          <t>2025-11-14 09:30:00</t>
        </is>
      </c>
      <c r="B424" s="12" t="inlineStr">
        <is>
          <t>2025-11-14</t>
        </is>
      </c>
      <c r="C424" s="12" t="inlineStr">
        <is>
          <t>09:30</t>
        </is>
      </c>
      <c r="D424" s="12" t="inlineStr">
        <is>
          <t>Friday</t>
        </is>
      </c>
      <c r="E424" s="12" t="n">
        <v>422</v>
      </c>
      <c r="F424" s="27" t="n">
        <v>379800</v>
      </c>
      <c r="G424" s="27" t="n">
        <v>105.5</v>
      </c>
      <c r="H424" s="39" t="n">
        <v>0.607</v>
      </c>
      <c r="I424" s="40">
        <f>H424*0.25</f>
        <v/>
      </c>
      <c r="J424" s="34">
        <f>J423+I424</f>
        <v/>
      </c>
      <c r="K424" s="12" t="inlineStr">
        <is>
          <t>Valid (Smart Meter)</t>
        </is>
      </c>
      <c r="L424" s="28" t="inlineStr">
        <is>
          <t>Daytime low activity / Home office</t>
        </is>
      </c>
    </row>
    <row r="425">
      <c r="A425" s="12" t="inlineStr">
        <is>
          <t>2025-11-14 09:45:00</t>
        </is>
      </c>
      <c r="B425" s="12" t="inlineStr">
        <is>
          <t>2025-11-14</t>
        </is>
      </c>
      <c r="C425" s="12" t="inlineStr">
        <is>
          <t>09:45</t>
        </is>
      </c>
      <c r="D425" s="12" t="inlineStr">
        <is>
          <t>Friday</t>
        </is>
      </c>
      <c r="E425" s="12" t="n">
        <v>423</v>
      </c>
      <c r="F425" s="27" t="n">
        <v>380700</v>
      </c>
      <c r="G425" s="27" t="n">
        <v>105.75</v>
      </c>
      <c r="H425" s="39" t="n">
        <v>0.717</v>
      </c>
      <c r="I425" s="40">
        <f>H425*0.25</f>
        <v/>
      </c>
      <c r="J425" s="34">
        <f>J424+I425</f>
        <v/>
      </c>
      <c r="K425" s="12" t="inlineStr">
        <is>
          <t>Valid (Smart Meter)</t>
        </is>
      </c>
      <c r="L425" s="28" t="inlineStr">
        <is>
          <t>Daytime low activity / Home office</t>
        </is>
      </c>
    </row>
    <row r="426">
      <c r="A426" s="15" t="inlineStr">
        <is>
          <t>2025-11-14 10:00:00</t>
        </is>
      </c>
      <c r="B426" s="15" t="inlineStr">
        <is>
          <t>2025-11-14</t>
        </is>
      </c>
      <c r="C426" s="15" t="inlineStr">
        <is>
          <t>10:00</t>
        </is>
      </c>
      <c r="D426" s="15" t="inlineStr">
        <is>
          <t>Friday</t>
        </is>
      </c>
      <c r="E426" s="15" t="n">
        <v>424</v>
      </c>
      <c r="F426" s="25" t="n">
        <v>381600</v>
      </c>
      <c r="G426" s="25" t="n">
        <v>106</v>
      </c>
      <c r="H426" s="37" t="n">
        <v>0.61</v>
      </c>
      <c r="I426" s="38">
        <f>H426*0.25</f>
        <v/>
      </c>
      <c r="J426" s="35">
        <f>J425+I426</f>
        <v/>
      </c>
      <c r="K426" s="15" t="inlineStr">
        <is>
          <t>Valid (Smart Meter)</t>
        </is>
      </c>
      <c r="L426" s="26" t="inlineStr">
        <is>
          <t>Daytime low activity / Home office</t>
        </is>
      </c>
    </row>
    <row r="427">
      <c r="A427" s="15" t="inlineStr">
        <is>
          <t>2025-11-14 10:15:00</t>
        </is>
      </c>
      <c r="B427" s="15" t="inlineStr">
        <is>
          <t>2025-11-14</t>
        </is>
      </c>
      <c r="C427" s="15" t="inlineStr">
        <is>
          <t>10:15</t>
        </is>
      </c>
      <c r="D427" s="15" t="inlineStr">
        <is>
          <t>Friday</t>
        </is>
      </c>
      <c r="E427" s="15" t="n">
        <v>425</v>
      </c>
      <c r="F427" s="25" t="n">
        <v>382500</v>
      </c>
      <c r="G427" s="25" t="n">
        <v>106.25</v>
      </c>
      <c r="H427" s="37" t="n">
        <v>0.672</v>
      </c>
      <c r="I427" s="38">
        <f>H427*0.25</f>
        <v/>
      </c>
      <c r="J427" s="35">
        <f>J426+I427</f>
        <v/>
      </c>
      <c r="K427" s="15" t="inlineStr">
        <is>
          <t>Valid (Smart Meter)</t>
        </is>
      </c>
      <c r="L427" s="26" t="inlineStr">
        <is>
          <t>Daytime low activity / Home office</t>
        </is>
      </c>
    </row>
    <row r="428">
      <c r="A428" s="15" t="inlineStr">
        <is>
          <t>2025-11-14 10:30:00</t>
        </is>
      </c>
      <c r="B428" s="15" t="inlineStr">
        <is>
          <t>2025-11-14</t>
        </is>
      </c>
      <c r="C428" s="15" t="inlineStr">
        <is>
          <t>10:30</t>
        </is>
      </c>
      <c r="D428" s="15" t="inlineStr">
        <is>
          <t>Friday</t>
        </is>
      </c>
      <c r="E428" s="15" t="n">
        <v>426</v>
      </c>
      <c r="F428" s="25" t="n">
        <v>383400</v>
      </c>
      <c r="G428" s="25" t="n">
        <v>106.5</v>
      </c>
      <c r="H428" s="37" t="n">
        <v>0.722</v>
      </c>
      <c r="I428" s="38">
        <f>H428*0.25</f>
        <v/>
      </c>
      <c r="J428" s="35">
        <f>J427+I428</f>
        <v/>
      </c>
      <c r="K428" s="15" t="inlineStr">
        <is>
          <t>Valid (Smart Meter)</t>
        </is>
      </c>
      <c r="L428" s="26" t="inlineStr">
        <is>
          <t>Daytime low activity / Home office</t>
        </is>
      </c>
    </row>
    <row r="429">
      <c r="A429" s="15" t="inlineStr">
        <is>
          <t>2025-11-14 10:45:00</t>
        </is>
      </c>
      <c r="B429" s="15" t="inlineStr">
        <is>
          <t>2025-11-14</t>
        </is>
      </c>
      <c r="C429" s="15" t="inlineStr">
        <is>
          <t>10:45</t>
        </is>
      </c>
      <c r="D429" s="15" t="inlineStr">
        <is>
          <t>Friday</t>
        </is>
      </c>
      <c r="E429" s="15" t="n">
        <v>427</v>
      </c>
      <c r="F429" s="25" t="n">
        <v>384300</v>
      </c>
      <c r="G429" s="25" t="n">
        <v>106.75</v>
      </c>
      <c r="H429" s="37" t="n">
        <v>0.596</v>
      </c>
      <c r="I429" s="38">
        <f>H429*0.25</f>
        <v/>
      </c>
      <c r="J429" s="35">
        <f>J428+I429</f>
        <v/>
      </c>
      <c r="K429" s="15" t="inlineStr">
        <is>
          <t>Valid (Smart Meter)</t>
        </is>
      </c>
      <c r="L429" s="26" t="inlineStr">
        <is>
          <t>Daytime low activity / Home office</t>
        </is>
      </c>
    </row>
    <row r="430">
      <c r="A430" s="12" t="inlineStr">
        <is>
          <t>2025-11-14 11:00:00</t>
        </is>
      </c>
      <c r="B430" s="12" t="inlineStr">
        <is>
          <t>2025-11-14</t>
        </is>
      </c>
      <c r="C430" s="12" t="inlineStr">
        <is>
          <t>11:00</t>
        </is>
      </c>
      <c r="D430" s="12" t="inlineStr">
        <is>
          <t>Friday</t>
        </is>
      </c>
      <c r="E430" s="12" t="n">
        <v>428</v>
      </c>
      <c r="F430" s="27" t="n">
        <v>385200</v>
      </c>
      <c r="G430" s="27" t="n">
        <v>107</v>
      </c>
      <c r="H430" s="39" t="n">
        <v>0.669</v>
      </c>
      <c r="I430" s="40">
        <f>H430*0.25</f>
        <v/>
      </c>
      <c r="J430" s="34">
        <f>J429+I430</f>
        <v/>
      </c>
      <c r="K430" s="12" t="inlineStr">
        <is>
          <t>Valid (Smart Meter)</t>
        </is>
      </c>
      <c r="L430" s="28" t="inlineStr">
        <is>
          <t>Daytime low activity / Home office</t>
        </is>
      </c>
    </row>
    <row r="431">
      <c r="A431" s="12" t="inlineStr">
        <is>
          <t>2025-11-14 11:15:00</t>
        </is>
      </c>
      <c r="B431" s="12" t="inlineStr">
        <is>
          <t>2025-11-14</t>
        </is>
      </c>
      <c r="C431" s="12" t="inlineStr">
        <is>
          <t>11:15</t>
        </is>
      </c>
      <c r="D431" s="12" t="inlineStr">
        <is>
          <t>Friday</t>
        </is>
      </c>
      <c r="E431" s="12" t="n">
        <v>429</v>
      </c>
      <c r="F431" s="27" t="n">
        <v>386100</v>
      </c>
      <c r="G431" s="27" t="n">
        <v>107.25</v>
      </c>
      <c r="H431" s="39" t="n">
        <v>0.667</v>
      </c>
      <c r="I431" s="40">
        <f>H431*0.25</f>
        <v/>
      </c>
      <c r="J431" s="34">
        <f>J430+I431</f>
        <v/>
      </c>
      <c r="K431" s="12" t="inlineStr">
        <is>
          <t>Valid (Smart Meter)</t>
        </is>
      </c>
      <c r="L431" s="28" t="inlineStr">
        <is>
          <t>Daytime low activity / Home office</t>
        </is>
      </c>
    </row>
    <row r="432">
      <c r="A432" s="12" t="inlineStr">
        <is>
          <t>2025-11-14 11:30:00</t>
        </is>
      </c>
      <c r="B432" s="12" t="inlineStr">
        <is>
          <t>2025-11-14</t>
        </is>
      </c>
      <c r="C432" s="12" t="inlineStr">
        <is>
          <t>11:30</t>
        </is>
      </c>
      <c r="D432" s="12" t="inlineStr">
        <is>
          <t>Friday</t>
        </is>
      </c>
      <c r="E432" s="12" t="n">
        <v>430</v>
      </c>
      <c r="F432" s="27" t="n">
        <v>387000</v>
      </c>
      <c r="G432" s="27" t="n">
        <v>107.5</v>
      </c>
      <c r="H432" s="39" t="n">
        <v>0.671</v>
      </c>
      <c r="I432" s="40">
        <f>H432*0.25</f>
        <v/>
      </c>
      <c r="J432" s="34">
        <f>J431+I432</f>
        <v/>
      </c>
      <c r="K432" s="12" t="inlineStr">
        <is>
          <t>Valid (Smart Meter)</t>
        </is>
      </c>
      <c r="L432" s="28" t="inlineStr">
        <is>
          <t>Daytime low activity / Home office</t>
        </is>
      </c>
    </row>
    <row r="433">
      <c r="A433" s="12" t="inlineStr">
        <is>
          <t>2025-11-14 11:45:00</t>
        </is>
      </c>
      <c r="B433" s="12" t="inlineStr">
        <is>
          <t>2025-11-14</t>
        </is>
      </c>
      <c r="C433" s="12" t="inlineStr">
        <is>
          <t>11:45</t>
        </is>
      </c>
      <c r="D433" s="12" t="inlineStr">
        <is>
          <t>Friday</t>
        </is>
      </c>
      <c r="E433" s="12" t="n">
        <v>431</v>
      </c>
      <c r="F433" s="27" t="n">
        <v>387900</v>
      </c>
      <c r="G433" s="27" t="n">
        <v>107.75</v>
      </c>
      <c r="H433" s="39" t="n">
        <v>0.6889999999999999</v>
      </c>
      <c r="I433" s="40">
        <f>H433*0.25</f>
        <v/>
      </c>
      <c r="J433" s="34">
        <f>J432+I433</f>
        <v/>
      </c>
      <c r="K433" s="12" t="inlineStr">
        <is>
          <t>Valid (Smart Meter)</t>
        </is>
      </c>
      <c r="L433" s="28" t="inlineStr">
        <is>
          <t>Daytime low activity / Home office</t>
        </is>
      </c>
    </row>
    <row r="434">
      <c r="A434" s="15" t="inlineStr">
        <is>
          <t>2025-11-14 12:00:00</t>
        </is>
      </c>
      <c r="B434" s="15" t="inlineStr">
        <is>
          <t>2025-11-14</t>
        </is>
      </c>
      <c r="C434" s="15" t="inlineStr">
        <is>
          <t>12:00</t>
        </is>
      </c>
      <c r="D434" s="15" t="inlineStr">
        <is>
          <t>Friday</t>
        </is>
      </c>
      <c r="E434" s="15" t="n">
        <v>432</v>
      </c>
      <c r="F434" s="25" t="n">
        <v>388800</v>
      </c>
      <c r="G434" s="25" t="n">
        <v>108</v>
      </c>
      <c r="H434" s="37" t="n">
        <v>1.59</v>
      </c>
      <c r="I434" s="38">
        <f>H434*0.25</f>
        <v/>
      </c>
      <c r="J434" s="35">
        <f>J433+I434</f>
        <v/>
      </c>
      <c r="K434" s="15" t="inlineStr">
        <is>
          <t>Valid (Smart Meter)</t>
        </is>
      </c>
      <c r="L434" s="26" t="inlineStr">
        <is>
          <t>Lunch microwave / cooking</t>
        </is>
      </c>
    </row>
    <row r="435">
      <c r="A435" s="15" t="inlineStr">
        <is>
          <t>2025-11-14 12:15:00</t>
        </is>
      </c>
      <c r="B435" s="15" t="inlineStr">
        <is>
          <t>2025-11-14</t>
        </is>
      </c>
      <c r="C435" s="15" t="inlineStr">
        <is>
          <t>12:15</t>
        </is>
      </c>
      <c r="D435" s="15" t="inlineStr">
        <is>
          <t>Friday</t>
        </is>
      </c>
      <c r="E435" s="15" t="n">
        <v>433</v>
      </c>
      <c r="F435" s="25" t="n">
        <v>389700</v>
      </c>
      <c r="G435" s="25" t="n">
        <v>108.25</v>
      </c>
      <c r="H435" s="37" t="n">
        <v>1.671</v>
      </c>
      <c r="I435" s="38">
        <f>H435*0.25</f>
        <v/>
      </c>
      <c r="J435" s="35">
        <f>J434+I435</f>
        <v/>
      </c>
      <c r="K435" s="15" t="inlineStr">
        <is>
          <t>Valid (Smart Meter)</t>
        </is>
      </c>
      <c r="L435" s="26" t="inlineStr">
        <is>
          <t>Lunch microwave / cooking</t>
        </is>
      </c>
    </row>
    <row r="436">
      <c r="A436" s="15" t="inlineStr">
        <is>
          <t>2025-11-14 12:30:00</t>
        </is>
      </c>
      <c r="B436" s="15" t="inlineStr">
        <is>
          <t>2025-11-14</t>
        </is>
      </c>
      <c r="C436" s="15" t="inlineStr">
        <is>
          <t>12:30</t>
        </is>
      </c>
      <c r="D436" s="15" t="inlineStr">
        <is>
          <t>Friday</t>
        </is>
      </c>
      <c r="E436" s="15" t="n">
        <v>434</v>
      </c>
      <c r="F436" s="25" t="n">
        <v>390600</v>
      </c>
      <c r="G436" s="25" t="n">
        <v>108.5</v>
      </c>
      <c r="H436" s="37" t="n">
        <v>1.708</v>
      </c>
      <c r="I436" s="38">
        <f>H436*0.25</f>
        <v/>
      </c>
      <c r="J436" s="35">
        <f>J435+I436</f>
        <v/>
      </c>
      <c r="K436" s="15" t="inlineStr">
        <is>
          <t>Valid (Smart Meter)</t>
        </is>
      </c>
      <c r="L436" s="26" t="inlineStr">
        <is>
          <t>Lunch microwave / cooking</t>
        </is>
      </c>
    </row>
    <row r="437">
      <c r="A437" s="15" t="inlineStr">
        <is>
          <t>2025-11-14 12:45:00</t>
        </is>
      </c>
      <c r="B437" s="15" t="inlineStr">
        <is>
          <t>2025-11-14</t>
        </is>
      </c>
      <c r="C437" s="15" t="inlineStr">
        <is>
          <t>12:45</t>
        </is>
      </c>
      <c r="D437" s="15" t="inlineStr">
        <is>
          <t>Friday</t>
        </is>
      </c>
      <c r="E437" s="15" t="n">
        <v>435</v>
      </c>
      <c r="F437" s="25" t="n">
        <v>391500</v>
      </c>
      <c r="G437" s="25" t="n">
        <v>108.75</v>
      </c>
      <c r="H437" s="37" t="n">
        <v>1.586</v>
      </c>
      <c r="I437" s="38">
        <f>H437*0.25</f>
        <v/>
      </c>
      <c r="J437" s="35">
        <f>J436+I437</f>
        <v/>
      </c>
      <c r="K437" s="15" t="inlineStr">
        <is>
          <t>Valid (Smart Meter)</t>
        </is>
      </c>
      <c r="L437" s="26" t="inlineStr">
        <is>
          <t>Lunch microwave / cooking</t>
        </is>
      </c>
    </row>
    <row r="438">
      <c r="A438" s="12" t="inlineStr">
        <is>
          <t>2025-11-14 13:00:00</t>
        </is>
      </c>
      <c r="B438" s="12" t="inlineStr">
        <is>
          <t>2025-11-14</t>
        </is>
      </c>
      <c r="C438" s="12" t="inlineStr">
        <is>
          <t>13:00</t>
        </is>
      </c>
      <c r="D438" s="12" t="inlineStr">
        <is>
          <t>Friday</t>
        </is>
      </c>
      <c r="E438" s="12" t="n">
        <v>436</v>
      </c>
      <c r="F438" s="27" t="n">
        <v>392400</v>
      </c>
      <c r="G438" s="27" t="n">
        <v>109</v>
      </c>
      <c r="H438" s="39" t="n">
        <v>0.569</v>
      </c>
      <c r="I438" s="40">
        <f>H438*0.25</f>
        <v/>
      </c>
      <c r="J438" s="34">
        <f>J437+I438</f>
        <v/>
      </c>
      <c r="K438" s="12" t="inlineStr">
        <is>
          <t>Valid (Smart Meter)</t>
        </is>
      </c>
      <c r="L438" s="28" t="inlineStr">
        <is>
          <t>Daytime low activity / Home office</t>
        </is>
      </c>
    </row>
    <row r="439">
      <c r="A439" s="12" t="inlineStr">
        <is>
          <t>2025-11-14 13:15:00</t>
        </is>
      </c>
      <c r="B439" s="12" t="inlineStr">
        <is>
          <t>2025-11-14</t>
        </is>
      </c>
      <c r="C439" s="12" t="inlineStr">
        <is>
          <t>13:15</t>
        </is>
      </c>
      <c r="D439" s="12" t="inlineStr">
        <is>
          <t>Friday</t>
        </is>
      </c>
      <c r="E439" s="12" t="n">
        <v>437</v>
      </c>
      <c r="F439" s="27" t="n">
        <v>393300</v>
      </c>
      <c r="G439" s="27" t="n">
        <v>109.25</v>
      </c>
      <c r="H439" s="39" t="n">
        <v>0.55</v>
      </c>
      <c r="I439" s="40">
        <f>H439*0.25</f>
        <v/>
      </c>
      <c r="J439" s="34">
        <f>J438+I439</f>
        <v/>
      </c>
      <c r="K439" s="12" t="inlineStr">
        <is>
          <t>Valid (Smart Meter)</t>
        </is>
      </c>
      <c r="L439" s="28" t="inlineStr">
        <is>
          <t>Daytime low activity / Home office</t>
        </is>
      </c>
    </row>
    <row r="440">
      <c r="A440" s="12" t="inlineStr">
        <is>
          <t>2025-11-14 13:30:00</t>
        </is>
      </c>
      <c r="B440" s="12" t="inlineStr">
        <is>
          <t>2025-11-14</t>
        </is>
      </c>
      <c r="C440" s="12" t="inlineStr">
        <is>
          <t>13:30</t>
        </is>
      </c>
      <c r="D440" s="12" t="inlineStr">
        <is>
          <t>Friday</t>
        </is>
      </c>
      <c r="E440" s="12" t="n">
        <v>438</v>
      </c>
      <c r="F440" s="27" t="n">
        <v>394200</v>
      </c>
      <c r="G440" s="27" t="n">
        <v>109.5</v>
      </c>
      <c r="H440" s="39" t="n">
        <v>0.647</v>
      </c>
      <c r="I440" s="40">
        <f>H440*0.25</f>
        <v/>
      </c>
      <c r="J440" s="34">
        <f>J439+I440</f>
        <v/>
      </c>
      <c r="K440" s="12" t="inlineStr">
        <is>
          <t>Valid (Smart Meter)</t>
        </is>
      </c>
      <c r="L440" s="28" t="inlineStr">
        <is>
          <t>Daytime low activity / Home office</t>
        </is>
      </c>
    </row>
    <row r="441">
      <c r="A441" s="12" t="inlineStr">
        <is>
          <t>2025-11-14 13:45:00</t>
        </is>
      </c>
      <c r="B441" s="12" t="inlineStr">
        <is>
          <t>2025-11-14</t>
        </is>
      </c>
      <c r="C441" s="12" t="inlineStr">
        <is>
          <t>13:45</t>
        </is>
      </c>
      <c r="D441" s="12" t="inlineStr">
        <is>
          <t>Friday</t>
        </is>
      </c>
      <c r="E441" s="12" t="n">
        <v>439</v>
      </c>
      <c r="F441" s="27" t="n">
        <v>395100</v>
      </c>
      <c r="G441" s="27" t="n">
        <v>109.75</v>
      </c>
      <c r="H441" s="39" t="n">
        <v>0.617</v>
      </c>
      <c r="I441" s="40">
        <f>H441*0.25</f>
        <v/>
      </c>
      <c r="J441" s="34">
        <f>J440+I441</f>
        <v/>
      </c>
      <c r="K441" s="12" t="inlineStr">
        <is>
          <t>Valid (Smart Meter)</t>
        </is>
      </c>
      <c r="L441" s="28" t="inlineStr">
        <is>
          <t>Daytime low activity / Home office</t>
        </is>
      </c>
    </row>
    <row r="442">
      <c r="A442" s="15" t="inlineStr">
        <is>
          <t>2025-11-14 14:00:00</t>
        </is>
      </c>
      <c r="B442" s="15" t="inlineStr">
        <is>
          <t>2025-11-14</t>
        </is>
      </c>
      <c r="C442" s="15" t="inlineStr">
        <is>
          <t>14:00</t>
        </is>
      </c>
      <c r="D442" s="15" t="inlineStr">
        <is>
          <t>Friday</t>
        </is>
      </c>
      <c r="E442" s="15" t="n">
        <v>440</v>
      </c>
      <c r="F442" s="25" t="n">
        <v>396000</v>
      </c>
      <c r="G442" s="25" t="n">
        <v>110</v>
      </c>
      <c r="H442" s="37" t="n">
        <v>0.588</v>
      </c>
      <c r="I442" s="38">
        <f>H442*0.25</f>
        <v/>
      </c>
      <c r="J442" s="35">
        <f>J441+I442</f>
        <v/>
      </c>
      <c r="K442" s="15" t="inlineStr">
        <is>
          <t>Valid (Smart Meter)</t>
        </is>
      </c>
      <c r="L442" s="26" t="inlineStr">
        <is>
          <t>Daytime low activity / Home office</t>
        </is>
      </c>
    </row>
    <row r="443">
      <c r="A443" s="15" t="inlineStr">
        <is>
          <t>2025-11-14 14:15:00</t>
        </is>
      </c>
      <c r="B443" s="15" t="inlineStr">
        <is>
          <t>2025-11-14</t>
        </is>
      </c>
      <c r="C443" s="15" t="inlineStr">
        <is>
          <t>14:15</t>
        </is>
      </c>
      <c r="D443" s="15" t="inlineStr">
        <is>
          <t>Friday</t>
        </is>
      </c>
      <c r="E443" s="15" t="n">
        <v>441</v>
      </c>
      <c r="F443" s="25" t="n">
        <v>396900</v>
      </c>
      <c r="G443" s="25" t="n">
        <v>110.25</v>
      </c>
      <c r="H443" s="37" t="n">
        <v>0.624</v>
      </c>
      <c r="I443" s="38">
        <f>H443*0.25</f>
        <v/>
      </c>
      <c r="J443" s="35">
        <f>J442+I443</f>
        <v/>
      </c>
      <c r="K443" s="15" t="inlineStr">
        <is>
          <t>Valid (Smart Meter)</t>
        </is>
      </c>
      <c r="L443" s="26" t="inlineStr">
        <is>
          <t>Daytime low activity / Home office</t>
        </is>
      </c>
    </row>
    <row r="444">
      <c r="A444" s="15" t="inlineStr">
        <is>
          <t>2025-11-14 14:30:00</t>
        </is>
      </c>
      <c r="B444" s="15" t="inlineStr">
        <is>
          <t>2025-11-14</t>
        </is>
      </c>
      <c r="C444" s="15" t="inlineStr">
        <is>
          <t>14:30</t>
        </is>
      </c>
      <c r="D444" s="15" t="inlineStr">
        <is>
          <t>Friday</t>
        </is>
      </c>
      <c r="E444" s="15" t="n">
        <v>442</v>
      </c>
      <c r="F444" s="25" t="n">
        <v>397800</v>
      </c>
      <c r="G444" s="25" t="n">
        <v>110.5</v>
      </c>
      <c r="H444" s="37" t="n">
        <v>0.7</v>
      </c>
      <c r="I444" s="38">
        <f>H444*0.25</f>
        <v/>
      </c>
      <c r="J444" s="35">
        <f>J443+I444</f>
        <v/>
      </c>
      <c r="K444" s="15" t="inlineStr">
        <is>
          <t>Valid (Smart Meter)</t>
        </is>
      </c>
      <c r="L444" s="26" t="inlineStr">
        <is>
          <t>Daytime low activity / Home office</t>
        </is>
      </c>
    </row>
    <row r="445">
      <c r="A445" s="15" t="inlineStr">
        <is>
          <t>2025-11-14 14:45:00</t>
        </is>
      </c>
      <c r="B445" s="15" t="inlineStr">
        <is>
          <t>2025-11-14</t>
        </is>
      </c>
      <c r="C445" s="15" t="inlineStr">
        <is>
          <t>14:45</t>
        </is>
      </c>
      <c r="D445" s="15" t="inlineStr">
        <is>
          <t>Friday</t>
        </is>
      </c>
      <c r="E445" s="15" t="n">
        <v>443</v>
      </c>
      <c r="F445" s="25" t="n">
        <v>398700</v>
      </c>
      <c r="G445" s="25" t="n">
        <v>110.75</v>
      </c>
      <c r="H445" s="37" t="n">
        <v>0.711</v>
      </c>
      <c r="I445" s="38">
        <f>H445*0.25</f>
        <v/>
      </c>
      <c r="J445" s="35">
        <f>J444+I445</f>
        <v/>
      </c>
      <c r="K445" s="15" t="inlineStr">
        <is>
          <t>Valid (Smart Meter)</t>
        </is>
      </c>
      <c r="L445" s="26" t="inlineStr">
        <is>
          <t>Daytime low activity / Home office</t>
        </is>
      </c>
    </row>
    <row r="446">
      <c r="A446" s="12" t="inlineStr">
        <is>
          <t>2025-11-14 15:00:00</t>
        </is>
      </c>
      <c r="B446" s="12" t="inlineStr">
        <is>
          <t>2025-11-14</t>
        </is>
      </c>
      <c r="C446" s="12" t="inlineStr">
        <is>
          <t>15:00</t>
        </is>
      </c>
      <c r="D446" s="12" t="inlineStr">
        <is>
          <t>Friday</t>
        </is>
      </c>
      <c r="E446" s="12" t="n">
        <v>444</v>
      </c>
      <c r="F446" s="27" t="n">
        <v>399600</v>
      </c>
      <c r="G446" s="27" t="n">
        <v>111</v>
      </c>
      <c r="H446" s="39" t="n">
        <v>0.652</v>
      </c>
      <c r="I446" s="40">
        <f>H446*0.25</f>
        <v/>
      </c>
      <c r="J446" s="34">
        <f>J445+I446</f>
        <v/>
      </c>
      <c r="K446" s="12" t="inlineStr">
        <is>
          <t>Valid (Smart Meter)</t>
        </is>
      </c>
      <c r="L446" s="28" t="inlineStr">
        <is>
          <t>Daytime low activity / Home office</t>
        </is>
      </c>
    </row>
    <row r="447">
      <c r="A447" s="12" t="inlineStr">
        <is>
          <t>2025-11-14 15:15:00</t>
        </is>
      </c>
      <c r="B447" s="12" t="inlineStr">
        <is>
          <t>2025-11-14</t>
        </is>
      </c>
      <c r="C447" s="12" t="inlineStr">
        <is>
          <t>15:15</t>
        </is>
      </c>
      <c r="D447" s="12" t="inlineStr">
        <is>
          <t>Friday</t>
        </is>
      </c>
      <c r="E447" s="12" t="n">
        <v>445</v>
      </c>
      <c r="F447" s="27" t="n">
        <v>400500</v>
      </c>
      <c r="G447" s="27" t="n">
        <v>111.25</v>
      </c>
      <c r="H447" s="39" t="n">
        <v>0.678</v>
      </c>
      <c r="I447" s="40">
        <f>H447*0.25</f>
        <v/>
      </c>
      <c r="J447" s="34">
        <f>J446+I447</f>
        <v/>
      </c>
      <c r="K447" s="12" t="inlineStr">
        <is>
          <t>Valid (Smart Meter)</t>
        </is>
      </c>
      <c r="L447" s="28" t="inlineStr">
        <is>
          <t>Daytime low activity / Home office</t>
        </is>
      </c>
    </row>
    <row r="448">
      <c r="A448" s="12" t="inlineStr">
        <is>
          <t>2025-11-14 15:30:00</t>
        </is>
      </c>
      <c r="B448" s="12" t="inlineStr">
        <is>
          <t>2025-11-14</t>
        </is>
      </c>
      <c r="C448" s="12" t="inlineStr">
        <is>
          <t>15:30</t>
        </is>
      </c>
      <c r="D448" s="12" t="inlineStr">
        <is>
          <t>Friday</t>
        </is>
      </c>
      <c r="E448" s="12" t="n">
        <v>446</v>
      </c>
      <c r="F448" s="27" t="n">
        <v>401400</v>
      </c>
      <c r="G448" s="27" t="n">
        <v>111.5</v>
      </c>
      <c r="H448" s="39" t="n">
        <v>0.752</v>
      </c>
      <c r="I448" s="40">
        <f>H448*0.25</f>
        <v/>
      </c>
      <c r="J448" s="34">
        <f>J447+I448</f>
        <v/>
      </c>
      <c r="K448" s="12" t="inlineStr">
        <is>
          <t>Valid (Smart Meter)</t>
        </is>
      </c>
      <c r="L448" s="28" t="inlineStr">
        <is>
          <t>Daytime low activity / Home office</t>
        </is>
      </c>
    </row>
    <row r="449">
      <c r="A449" s="12" t="inlineStr">
        <is>
          <t>2025-11-14 15:45:00</t>
        </is>
      </c>
      <c r="B449" s="12" t="inlineStr">
        <is>
          <t>2025-11-14</t>
        </is>
      </c>
      <c r="C449" s="12" t="inlineStr">
        <is>
          <t>15:45</t>
        </is>
      </c>
      <c r="D449" s="12" t="inlineStr">
        <is>
          <t>Friday</t>
        </is>
      </c>
      <c r="E449" s="12" t="n">
        <v>447</v>
      </c>
      <c r="F449" s="27" t="n">
        <v>402300</v>
      </c>
      <c r="G449" s="27" t="n">
        <v>111.75</v>
      </c>
      <c r="H449" s="39" t="n">
        <v>0.707</v>
      </c>
      <c r="I449" s="40">
        <f>H449*0.25</f>
        <v/>
      </c>
      <c r="J449" s="34">
        <f>J448+I449</f>
        <v/>
      </c>
      <c r="K449" s="12" t="inlineStr">
        <is>
          <t>Valid (Smart Meter)</t>
        </is>
      </c>
      <c r="L449" s="28" t="inlineStr">
        <is>
          <t>Daytime low activity / Home office</t>
        </is>
      </c>
    </row>
    <row r="450">
      <c r="A450" s="15" t="inlineStr">
        <is>
          <t>2025-11-14 16:00:00</t>
        </is>
      </c>
      <c r="B450" s="15" t="inlineStr">
        <is>
          <t>2025-11-14</t>
        </is>
      </c>
      <c r="C450" s="15" t="inlineStr">
        <is>
          <t>16:00</t>
        </is>
      </c>
      <c r="D450" s="15" t="inlineStr">
        <is>
          <t>Friday</t>
        </is>
      </c>
      <c r="E450" s="15" t="n">
        <v>448</v>
      </c>
      <c r="F450" s="25" t="n">
        <v>403200</v>
      </c>
      <c r="G450" s="25" t="n">
        <v>112</v>
      </c>
      <c r="H450" s="37" t="n">
        <v>0.796</v>
      </c>
      <c r="I450" s="38">
        <f>H450*0.25</f>
        <v/>
      </c>
      <c r="J450" s="35">
        <f>J449+I450</f>
        <v/>
      </c>
      <c r="K450" s="15" t="inlineStr">
        <is>
          <t>Valid (Smart Meter)</t>
        </is>
      </c>
      <c r="L450" s="26" t="inlineStr">
        <is>
          <t>Daytime low activity / Home office</t>
        </is>
      </c>
    </row>
    <row r="451">
      <c r="A451" s="15" t="inlineStr">
        <is>
          <t>2025-11-14 16:15:00</t>
        </is>
      </c>
      <c r="B451" s="15" t="inlineStr">
        <is>
          <t>2025-11-14</t>
        </is>
      </c>
      <c r="C451" s="15" t="inlineStr">
        <is>
          <t>16:15</t>
        </is>
      </c>
      <c r="D451" s="15" t="inlineStr">
        <is>
          <t>Friday</t>
        </is>
      </c>
      <c r="E451" s="15" t="n">
        <v>449</v>
      </c>
      <c r="F451" s="25" t="n">
        <v>404100</v>
      </c>
      <c r="G451" s="25" t="n">
        <v>112.25</v>
      </c>
      <c r="H451" s="37" t="n">
        <v>0.787</v>
      </c>
      <c r="I451" s="38">
        <f>H451*0.25</f>
        <v/>
      </c>
      <c r="J451" s="35">
        <f>J450+I451</f>
        <v/>
      </c>
      <c r="K451" s="15" t="inlineStr">
        <is>
          <t>Valid (Smart Meter)</t>
        </is>
      </c>
      <c r="L451" s="26" t="inlineStr">
        <is>
          <t>Daytime low activity / Home office</t>
        </is>
      </c>
    </row>
    <row r="452">
      <c r="A452" s="15" t="inlineStr">
        <is>
          <t>2025-11-14 16:30:00</t>
        </is>
      </c>
      <c r="B452" s="15" t="inlineStr">
        <is>
          <t>2025-11-14</t>
        </is>
      </c>
      <c r="C452" s="15" t="inlineStr">
        <is>
          <t>16:30</t>
        </is>
      </c>
      <c r="D452" s="15" t="inlineStr">
        <is>
          <t>Friday</t>
        </is>
      </c>
      <c r="E452" s="15" t="n">
        <v>450</v>
      </c>
      <c r="F452" s="25" t="n">
        <v>405000</v>
      </c>
      <c r="G452" s="25" t="n">
        <v>112.5</v>
      </c>
      <c r="H452" s="37" t="n">
        <v>1.682</v>
      </c>
      <c r="I452" s="38">
        <f>H452*0.25</f>
        <v/>
      </c>
      <c r="J452" s="35">
        <f>J451+I452</f>
        <v/>
      </c>
      <c r="K452" s="15" t="inlineStr">
        <is>
          <t>Valid (Smart Meter)</t>
        </is>
      </c>
      <c r="L452" s="26" t="inlineStr">
        <is>
          <t>Evening living / Lighting / Heat</t>
        </is>
      </c>
    </row>
    <row r="453">
      <c r="A453" s="15" t="inlineStr">
        <is>
          <t>2025-11-14 16:45:00</t>
        </is>
      </c>
      <c r="B453" s="15" t="inlineStr">
        <is>
          <t>2025-11-14</t>
        </is>
      </c>
      <c r="C453" s="15" t="inlineStr">
        <is>
          <t>16:45</t>
        </is>
      </c>
      <c r="D453" s="15" t="inlineStr">
        <is>
          <t>Friday</t>
        </is>
      </c>
      <c r="E453" s="15" t="n">
        <v>451</v>
      </c>
      <c r="F453" s="25" t="n">
        <v>405900</v>
      </c>
      <c r="G453" s="25" t="n">
        <v>112.75</v>
      </c>
      <c r="H453" s="37" t="n">
        <v>1.603</v>
      </c>
      <c r="I453" s="38">
        <f>H453*0.25</f>
        <v/>
      </c>
      <c r="J453" s="35">
        <f>J452+I453</f>
        <v/>
      </c>
      <c r="K453" s="15" t="inlineStr">
        <is>
          <t>Valid (Smart Meter)</t>
        </is>
      </c>
      <c r="L453" s="26" t="inlineStr">
        <is>
          <t>Evening living / Lighting / Heat</t>
        </is>
      </c>
    </row>
    <row r="454">
      <c r="A454" s="12" t="inlineStr">
        <is>
          <t>2025-11-14 17:00:00</t>
        </is>
      </c>
      <c r="B454" s="12" t="inlineStr">
        <is>
          <t>2025-11-14</t>
        </is>
      </c>
      <c r="C454" s="12" t="inlineStr">
        <is>
          <t>17:00</t>
        </is>
      </c>
      <c r="D454" s="12" t="inlineStr">
        <is>
          <t>Friday</t>
        </is>
      </c>
      <c r="E454" s="12" t="n">
        <v>452</v>
      </c>
      <c r="F454" s="27" t="n">
        <v>406800</v>
      </c>
      <c r="G454" s="27" t="n">
        <v>113</v>
      </c>
      <c r="H454" s="39" t="n">
        <v>1.752</v>
      </c>
      <c r="I454" s="40">
        <f>H454*0.25</f>
        <v/>
      </c>
      <c r="J454" s="34">
        <f>J453+I454</f>
        <v/>
      </c>
      <c r="K454" s="12" t="inlineStr">
        <is>
          <t>Valid (Smart Meter)</t>
        </is>
      </c>
      <c r="L454" s="28" t="inlineStr">
        <is>
          <t>Evening living / Lighting / Heat</t>
        </is>
      </c>
    </row>
    <row r="455">
      <c r="A455" s="12" t="inlineStr">
        <is>
          <t>2025-11-14 17:15:00</t>
        </is>
      </c>
      <c r="B455" s="12" t="inlineStr">
        <is>
          <t>2025-11-14</t>
        </is>
      </c>
      <c r="C455" s="12" t="inlineStr">
        <is>
          <t>17:15</t>
        </is>
      </c>
      <c r="D455" s="12" t="inlineStr">
        <is>
          <t>Friday</t>
        </is>
      </c>
      <c r="E455" s="12" t="n">
        <v>453</v>
      </c>
      <c r="F455" s="27" t="n">
        <v>407700</v>
      </c>
      <c r="G455" s="27" t="n">
        <v>113.25</v>
      </c>
      <c r="H455" s="39" t="n">
        <v>1.704</v>
      </c>
      <c r="I455" s="40">
        <f>H455*0.25</f>
        <v/>
      </c>
      <c r="J455" s="34">
        <f>J454+I455</f>
        <v/>
      </c>
      <c r="K455" s="12" t="inlineStr">
        <is>
          <t>Valid (Smart Meter)</t>
        </is>
      </c>
      <c r="L455" s="28" t="inlineStr">
        <is>
          <t>Evening living / Lighting / Heat</t>
        </is>
      </c>
    </row>
    <row r="456">
      <c r="A456" s="12" t="inlineStr">
        <is>
          <t>2025-11-14 17:30:00</t>
        </is>
      </c>
      <c r="B456" s="12" t="inlineStr">
        <is>
          <t>2025-11-14</t>
        </is>
      </c>
      <c r="C456" s="12" t="inlineStr">
        <is>
          <t>17:30</t>
        </is>
      </c>
      <c r="D456" s="12" t="inlineStr">
        <is>
          <t>Friday</t>
        </is>
      </c>
      <c r="E456" s="12" t="n">
        <v>454</v>
      </c>
      <c r="F456" s="27" t="n">
        <v>408600</v>
      </c>
      <c r="G456" s="27" t="n">
        <v>113.5</v>
      </c>
      <c r="H456" s="39" t="n">
        <v>1.8</v>
      </c>
      <c r="I456" s="40">
        <f>H456*0.25</f>
        <v/>
      </c>
      <c r="J456" s="34">
        <f>J455+I456</f>
        <v/>
      </c>
      <c r="K456" s="12" t="inlineStr">
        <is>
          <t>Valid (Smart Meter)</t>
        </is>
      </c>
      <c r="L456" s="28" t="inlineStr">
        <is>
          <t>Evening living / Lighting / Heat</t>
        </is>
      </c>
    </row>
    <row r="457">
      <c r="A457" s="12" t="inlineStr">
        <is>
          <t>2025-11-14 17:45:00</t>
        </is>
      </c>
      <c r="B457" s="12" t="inlineStr">
        <is>
          <t>2025-11-14</t>
        </is>
      </c>
      <c r="C457" s="12" t="inlineStr">
        <is>
          <t>17:45</t>
        </is>
      </c>
      <c r="D457" s="12" t="inlineStr">
        <is>
          <t>Friday</t>
        </is>
      </c>
      <c r="E457" s="12" t="n">
        <v>455</v>
      </c>
      <c r="F457" s="27" t="n">
        <v>409500</v>
      </c>
      <c r="G457" s="27" t="n">
        <v>113.75</v>
      </c>
      <c r="H457" s="39" t="n">
        <v>1.727</v>
      </c>
      <c r="I457" s="40">
        <f>H457*0.25</f>
        <v/>
      </c>
      <c r="J457" s="34">
        <f>J456+I457</f>
        <v/>
      </c>
      <c r="K457" s="12" t="inlineStr">
        <is>
          <t>Valid (Smart Meter)</t>
        </is>
      </c>
      <c r="L457" s="28" t="inlineStr">
        <is>
          <t>Evening living / Lighting / Heat</t>
        </is>
      </c>
    </row>
    <row r="458">
      <c r="A458" s="15" t="inlineStr">
        <is>
          <t>2025-11-14 18:00:00</t>
        </is>
      </c>
      <c r="B458" s="15" t="inlineStr">
        <is>
          <t>2025-11-14</t>
        </is>
      </c>
      <c r="C458" s="15" t="inlineStr">
        <is>
          <t>18:00</t>
        </is>
      </c>
      <c r="D458" s="15" t="inlineStr">
        <is>
          <t>Friday</t>
        </is>
      </c>
      <c r="E458" s="15" t="n">
        <v>456</v>
      </c>
      <c r="F458" s="25" t="n">
        <v>410400</v>
      </c>
      <c r="G458" s="25" t="n">
        <v>114</v>
      </c>
      <c r="H458" s="37" t="n">
        <v>3.922</v>
      </c>
      <c r="I458" s="38">
        <f>H458*0.25</f>
        <v/>
      </c>
      <c r="J458" s="35">
        <f>J457+I458</f>
        <v/>
      </c>
      <c r="K458" s="15" t="inlineStr">
        <is>
          <t>Valid (Smart Meter)</t>
        </is>
      </c>
      <c r="L458" s="26" t="inlineStr">
        <is>
          <t>Dinner cooking (Oven / Induction hob)</t>
        </is>
      </c>
    </row>
    <row r="459">
      <c r="A459" s="15" t="inlineStr">
        <is>
          <t>2025-11-14 18:15:00</t>
        </is>
      </c>
      <c r="B459" s="15" t="inlineStr">
        <is>
          <t>2025-11-14</t>
        </is>
      </c>
      <c r="C459" s="15" t="inlineStr">
        <is>
          <t>18:15</t>
        </is>
      </c>
      <c r="D459" s="15" t="inlineStr">
        <is>
          <t>Friday</t>
        </is>
      </c>
      <c r="E459" s="15" t="n">
        <v>457</v>
      </c>
      <c r="F459" s="25" t="n">
        <v>411300</v>
      </c>
      <c r="G459" s="25" t="n">
        <v>114.25</v>
      </c>
      <c r="H459" s="37" t="n">
        <v>4.491</v>
      </c>
      <c r="I459" s="38">
        <f>H459*0.25</f>
        <v/>
      </c>
      <c r="J459" s="35">
        <f>J458+I459</f>
        <v/>
      </c>
      <c r="K459" s="15" t="inlineStr">
        <is>
          <t>Valid (Smart Meter)</t>
        </is>
      </c>
      <c r="L459" s="26" t="inlineStr">
        <is>
          <t>Dinner cooking (Oven / Induction hob)</t>
        </is>
      </c>
    </row>
    <row r="460">
      <c r="A460" s="15" t="inlineStr">
        <is>
          <t>2025-11-14 18:30:00</t>
        </is>
      </c>
      <c r="B460" s="15" t="inlineStr">
        <is>
          <t>2025-11-14</t>
        </is>
      </c>
      <c r="C460" s="15" t="inlineStr">
        <is>
          <t>18:30</t>
        </is>
      </c>
      <c r="D460" s="15" t="inlineStr">
        <is>
          <t>Friday</t>
        </is>
      </c>
      <c r="E460" s="15" t="n">
        <v>458</v>
      </c>
      <c r="F460" s="25" t="n">
        <v>412200</v>
      </c>
      <c r="G460" s="25" t="n">
        <v>114.5</v>
      </c>
      <c r="H460" s="37" t="n">
        <v>4.399</v>
      </c>
      <c r="I460" s="38">
        <f>H460*0.25</f>
        <v/>
      </c>
      <c r="J460" s="35">
        <f>J459+I460</f>
        <v/>
      </c>
      <c r="K460" s="15" t="inlineStr">
        <is>
          <t>Valid (Smart Meter)</t>
        </is>
      </c>
      <c r="L460" s="26" t="inlineStr">
        <is>
          <t>Dinner cooking (Oven / Induction hob)</t>
        </is>
      </c>
    </row>
    <row r="461">
      <c r="A461" s="15" t="inlineStr">
        <is>
          <t>2025-11-14 18:45:00</t>
        </is>
      </c>
      <c r="B461" s="15" t="inlineStr">
        <is>
          <t>2025-11-14</t>
        </is>
      </c>
      <c r="C461" s="15" t="inlineStr">
        <is>
          <t>18:45</t>
        </is>
      </c>
      <c r="D461" s="15" t="inlineStr">
        <is>
          <t>Friday</t>
        </is>
      </c>
      <c r="E461" s="15" t="n">
        <v>459</v>
      </c>
      <c r="F461" s="25" t="n">
        <v>413100</v>
      </c>
      <c r="G461" s="25" t="n">
        <v>114.75</v>
      </c>
      <c r="H461" s="37" t="n">
        <v>4.686</v>
      </c>
      <c r="I461" s="38">
        <f>H461*0.25</f>
        <v/>
      </c>
      <c r="J461" s="35">
        <f>J460+I461</f>
        <v/>
      </c>
      <c r="K461" s="15" t="inlineStr">
        <is>
          <t>Valid (Smart Meter)</t>
        </is>
      </c>
      <c r="L461" s="26" t="inlineStr">
        <is>
          <t>Dinner cooking (Oven / Induction hob)</t>
        </is>
      </c>
    </row>
    <row r="462">
      <c r="A462" s="12" t="inlineStr">
        <is>
          <t>2025-11-14 19:00:00</t>
        </is>
      </c>
      <c r="B462" s="12" t="inlineStr">
        <is>
          <t>2025-11-14</t>
        </is>
      </c>
      <c r="C462" s="12" t="inlineStr">
        <is>
          <t>19:00</t>
        </is>
      </c>
      <c r="D462" s="12" t="inlineStr">
        <is>
          <t>Friday</t>
        </is>
      </c>
      <c r="E462" s="12" t="n">
        <v>460</v>
      </c>
      <c r="F462" s="27" t="n">
        <v>414000</v>
      </c>
      <c r="G462" s="27" t="n">
        <v>115</v>
      </c>
      <c r="H462" s="39" t="n">
        <v>4.201</v>
      </c>
      <c r="I462" s="40">
        <f>H462*0.25</f>
        <v/>
      </c>
      <c r="J462" s="34">
        <f>J461+I462</f>
        <v/>
      </c>
      <c r="K462" s="12" t="inlineStr">
        <is>
          <t>Valid (Smart Meter)</t>
        </is>
      </c>
      <c r="L462" s="28" t="inlineStr">
        <is>
          <t>Dinner cooking (Oven / Induction hob)</t>
        </is>
      </c>
    </row>
    <row r="463">
      <c r="A463" s="12" t="inlineStr">
        <is>
          <t>2025-11-14 19:15:00</t>
        </is>
      </c>
      <c r="B463" s="12" t="inlineStr">
        <is>
          <t>2025-11-14</t>
        </is>
      </c>
      <c r="C463" s="12" t="inlineStr">
        <is>
          <t>19:15</t>
        </is>
      </c>
      <c r="D463" s="12" t="inlineStr">
        <is>
          <t>Friday</t>
        </is>
      </c>
      <c r="E463" s="12" t="n">
        <v>461</v>
      </c>
      <c r="F463" s="27" t="n">
        <v>414900</v>
      </c>
      <c r="G463" s="27" t="n">
        <v>115.25</v>
      </c>
      <c r="H463" s="39" t="n">
        <v>4.193</v>
      </c>
      <c r="I463" s="40">
        <f>H463*0.25</f>
        <v/>
      </c>
      <c r="J463" s="34">
        <f>J462+I463</f>
        <v/>
      </c>
      <c r="K463" s="12" t="inlineStr">
        <is>
          <t>Valid (Smart Meter)</t>
        </is>
      </c>
      <c r="L463" s="28" t="inlineStr">
        <is>
          <t>Dinner cooking (Oven / Induction hob)</t>
        </is>
      </c>
    </row>
    <row r="464">
      <c r="A464" s="12" t="inlineStr">
        <is>
          <t>2025-11-14 19:30:00</t>
        </is>
      </c>
      <c r="B464" s="12" t="inlineStr">
        <is>
          <t>2025-11-14</t>
        </is>
      </c>
      <c r="C464" s="12" t="inlineStr">
        <is>
          <t>19:30</t>
        </is>
      </c>
      <c r="D464" s="12" t="inlineStr">
        <is>
          <t>Friday</t>
        </is>
      </c>
      <c r="E464" s="12" t="n">
        <v>462</v>
      </c>
      <c r="F464" s="27" t="n">
        <v>415800</v>
      </c>
      <c r="G464" s="27" t="n">
        <v>115.5</v>
      </c>
      <c r="H464" s="39" t="n">
        <v>4.526</v>
      </c>
      <c r="I464" s="40">
        <f>H464*0.25</f>
        <v/>
      </c>
      <c r="J464" s="34">
        <f>J463+I464</f>
        <v/>
      </c>
      <c r="K464" s="12" t="inlineStr">
        <is>
          <t>Valid (Smart Meter)</t>
        </is>
      </c>
      <c r="L464" s="28" t="inlineStr">
        <is>
          <t>Dinner cooking (Oven / Induction hob)</t>
        </is>
      </c>
    </row>
    <row r="465">
      <c r="A465" s="12" t="inlineStr">
        <is>
          <t>2025-11-14 19:45:00</t>
        </is>
      </c>
      <c r="B465" s="12" t="inlineStr">
        <is>
          <t>2025-11-14</t>
        </is>
      </c>
      <c r="C465" s="12" t="inlineStr">
        <is>
          <t>19:45</t>
        </is>
      </c>
      <c r="D465" s="12" t="inlineStr">
        <is>
          <t>Friday</t>
        </is>
      </c>
      <c r="E465" s="12" t="n">
        <v>463</v>
      </c>
      <c r="F465" s="27" t="n">
        <v>416700</v>
      </c>
      <c r="G465" s="27" t="n">
        <v>115.75</v>
      </c>
      <c r="H465" s="39" t="n">
        <v>1.967</v>
      </c>
      <c r="I465" s="40">
        <f>H465*0.25</f>
        <v/>
      </c>
      <c r="J465" s="34">
        <f>J464+I465</f>
        <v/>
      </c>
      <c r="K465" s="12" t="inlineStr">
        <is>
          <t>Valid (Smart Meter)</t>
        </is>
      </c>
      <c r="L465" s="28" t="inlineStr">
        <is>
          <t>Evening living / Lighting / Heat</t>
        </is>
      </c>
    </row>
    <row r="466">
      <c r="A466" s="15" t="inlineStr">
        <is>
          <t>2025-11-14 20:00:00</t>
        </is>
      </c>
      <c r="B466" s="15" t="inlineStr">
        <is>
          <t>2025-11-14</t>
        </is>
      </c>
      <c r="C466" s="15" t="inlineStr">
        <is>
          <t>20:00</t>
        </is>
      </c>
      <c r="D466" s="15" t="inlineStr">
        <is>
          <t>Friday</t>
        </is>
      </c>
      <c r="E466" s="15" t="n">
        <v>464</v>
      </c>
      <c r="F466" s="25" t="n">
        <v>417600</v>
      </c>
      <c r="G466" s="25" t="n">
        <v>116</v>
      </c>
      <c r="H466" s="37" t="n">
        <v>3.435</v>
      </c>
      <c r="I466" s="38">
        <f>H466*0.25</f>
        <v/>
      </c>
      <c r="J466" s="35">
        <f>J465+I466</f>
        <v/>
      </c>
      <c r="K466" s="15" t="inlineStr">
        <is>
          <t>Valid (Smart Meter)</t>
        </is>
      </c>
      <c r="L466" s="26" t="inlineStr">
        <is>
          <t>Dishwasher cycle / TV</t>
        </is>
      </c>
    </row>
    <row r="467">
      <c r="A467" s="15" t="inlineStr">
        <is>
          <t>2025-11-14 20:15:00</t>
        </is>
      </c>
      <c r="B467" s="15" t="inlineStr">
        <is>
          <t>2025-11-14</t>
        </is>
      </c>
      <c r="C467" s="15" t="inlineStr">
        <is>
          <t>20:15</t>
        </is>
      </c>
      <c r="D467" s="15" t="inlineStr">
        <is>
          <t>Friday</t>
        </is>
      </c>
      <c r="E467" s="15" t="n">
        <v>465</v>
      </c>
      <c r="F467" s="25" t="n">
        <v>418500</v>
      </c>
      <c r="G467" s="25" t="n">
        <v>116.25</v>
      </c>
      <c r="H467" s="37" t="n">
        <v>3.576</v>
      </c>
      <c r="I467" s="38">
        <f>H467*0.25</f>
        <v/>
      </c>
      <c r="J467" s="35">
        <f>J466+I467</f>
        <v/>
      </c>
      <c r="K467" s="15" t="inlineStr">
        <is>
          <t>Valid (Smart Meter)</t>
        </is>
      </c>
      <c r="L467" s="26" t="inlineStr">
        <is>
          <t>Dishwasher cycle / TV</t>
        </is>
      </c>
    </row>
    <row r="468">
      <c r="A468" s="15" t="inlineStr">
        <is>
          <t>2025-11-14 20:30:00</t>
        </is>
      </c>
      <c r="B468" s="15" t="inlineStr">
        <is>
          <t>2025-11-14</t>
        </is>
      </c>
      <c r="C468" s="15" t="inlineStr">
        <is>
          <t>20:30</t>
        </is>
      </c>
      <c r="D468" s="15" t="inlineStr">
        <is>
          <t>Friday</t>
        </is>
      </c>
      <c r="E468" s="15" t="n">
        <v>466</v>
      </c>
      <c r="F468" s="25" t="n">
        <v>419400</v>
      </c>
      <c r="G468" s="25" t="n">
        <v>116.5</v>
      </c>
      <c r="H468" s="37" t="n">
        <v>3.577</v>
      </c>
      <c r="I468" s="38">
        <f>H468*0.25</f>
        <v/>
      </c>
      <c r="J468" s="35">
        <f>J467+I468</f>
        <v/>
      </c>
      <c r="K468" s="15" t="inlineStr">
        <is>
          <t>Valid (Smart Meter)</t>
        </is>
      </c>
      <c r="L468" s="26" t="inlineStr">
        <is>
          <t>Dishwasher cycle / TV</t>
        </is>
      </c>
    </row>
    <row r="469">
      <c r="A469" s="15" t="inlineStr">
        <is>
          <t>2025-11-14 20:45:00</t>
        </is>
      </c>
      <c r="B469" s="15" t="inlineStr">
        <is>
          <t>2025-11-14</t>
        </is>
      </c>
      <c r="C469" s="15" t="inlineStr">
        <is>
          <t>20:45</t>
        </is>
      </c>
      <c r="D469" s="15" t="inlineStr">
        <is>
          <t>Friday</t>
        </is>
      </c>
      <c r="E469" s="15" t="n">
        <v>467</v>
      </c>
      <c r="F469" s="25" t="n">
        <v>420300</v>
      </c>
      <c r="G469" s="25" t="n">
        <v>116.75</v>
      </c>
      <c r="H469" s="37" t="n">
        <v>3.53</v>
      </c>
      <c r="I469" s="38">
        <f>H469*0.25</f>
        <v/>
      </c>
      <c r="J469" s="35">
        <f>J468+I469</f>
        <v/>
      </c>
      <c r="K469" s="15" t="inlineStr">
        <is>
          <t>Valid (Smart Meter)</t>
        </is>
      </c>
      <c r="L469" s="26" t="inlineStr">
        <is>
          <t>Dishwasher cycle / TV</t>
        </is>
      </c>
    </row>
    <row r="470">
      <c r="A470" s="12" t="inlineStr">
        <is>
          <t>2025-11-14 21:00:00</t>
        </is>
      </c>
      <c r="B470" s="12" t="inlineStr">
        <is>
          <t>2025-11-14</t>
        </is>
      </c>
      <c r="C470" s="12" t="inlineStr">
        <is>
          <t>21:00</t>
        </is>
      </c>
      <c r="D470" s="12" t="inlineStr">
        <is>
          <t>Friday</t>
        </is>
      </c>
      <c r="E470" s="12" t="n">
        <v>468</v>
      </c>
      <c r="F470" s="27" t="n">
        <v>421200</v>
      </c>
      <c r="G470" s="27" t="n">
        <v>117</v>
      </c>
      <c r="H470" s="39" t="n">
        <v>3.483</v>
      </c>
      <c r="I470" s="40">
        <f>H470*0.25</f>
        <v/>
      </c>
      <c r="J470" s="34">
        <f>J469+I470</f>
        <v/>
      </c>
      <c r="K470" s="12" t="inlineStr">
        <is>
          <t>Valid (Smart Meter)</t>
        </is>
      </c>
      <c r="L470" s="28" t="inlineStr">
        <is>
          <t>Dishwasher cycle / TV</t>
        </is>
      </c>
    </row>
    <row r="471">
      <c r="A471" s="12" t="inlineStr">
        <is>
          <t>2025-11-14 21:15:00</t>
        </is>
      </c>
      <c r="B471" s="12" t="inlineStr">
        <is>
          <t>2025-11-14</t>
        </is>
      </c>
      <c r="C471" s="12" t="inlineStr">
        <is>
          <t>21:15</t>
        </is>
      </c>
      <c r="D471" s="12" t="inlineStr">
        <is>
          <t>Friday</t>
        </is>
      </c>
      <c r="E471" s="12" t="n">
        <v>469</v>
      </c>
      <c r="F471" s="27" t="n">
        <v>422100</v>
      </c>
      <c r="G471" s="27" t="n">
        <v>117.25</v>
      </c>
      <c r="H471" s="39" t="n">
        <v>3.447</v>
      </c>
      <c r="I471" s="40">
        <f>H471*0.25</f>
        <v/>
      </c>
      <c r="J471" s="34">
        <f>J470+I471</f>
        <v/>
      </c>
      <c r="K471" s="12" t="inlineStr">
        <is>
          <t>Valid (Smart Meter)</t>
        </is>
      </c>
      <c r="L471" s="28" t="inlineStr">
        <is>
          <t>Dishwasher cycle / TV</t>
        </is>
      </c>
    </row>
    <row r="472">
      <c r="A472" s="12" t="inlineStr">
        <is>
          <t>2025-11-14 21:30:00</t>
        </is>
      </c>
      <c r="B472" s="12" t="inlineStr">
        <is>
          <t>2025-11-14</t>
        </is>
      </c>
      <c r="C472" s="12" t="inlineStr">
        <is>
          <t>21:30</t>
        </is>
      </c>
      <c r="D472" s="12" t="inlineStr">
        <is>
          <t>Friday</t>
        </is>
      </c>
      <c r="E472" s="12" t="n">
        <v>470</v>
      </c>
      <c r="F472" s="27" t="n">
        <v>423000</v>
      </c>
      <c r="G472" s="27" t="n">
        <v>117.5</v>
      </c>
      <c r="H472" s="39" t="n">
        <v>3.594</v>
      </c>
      <c r="I472" s="40">
        <f>H472*0.25</f>
        <v/>
      </c>
      <c r="J472" s="34">
        <f>J471+I472</f>
        <v/>
      </c>
      <c r="K472" s="12" t="inlineStr">
        <is>
          <t>Valid (Smart Meter)</t>
        </is>
      </c>
      <c r="L472" s="28" t="inlineStr">
        <is>
          <t>Dishwasher cycle / TV</t>
        </is>
      </c>
    </row>
    <row r="473">
      <c r="A473" s="12" t="inlineStr">
        <is>
          <t>2025-11-14 21:45:00</t>
        </is>
      </c>
      <c r="B473" s="12" t="inlineStr">
        <is>
          <t>2025-11-14</t>
        </is>
      </c>
      <c r="C473" s="12" t="inlineStr">
        <is>
          <t>21:45</t>
        </is>
      </c>
      <c r="D473" s="12" t="inlineStr">
        <is>
          <t>Friday</t>
        </is>
      </c>
      <c r="E473" s="12" t="n">
        <v>471</v>
      </c>
      <c r="F473" s="27" t="n">
        <v>423900</v>
      </c>
      <c r="G473" s="27" t="n">
        <v>117.75</v>
      </c>
      <c r="H473" s="39" t="n">
        <v>1.911</v>
      </c>
      <c r="I473" s="40">
        <f>H473*0.25</f>
        <v/>
      </c>
      <c r="J473" s="34">
        <f>J472+I473</f>
        <v/>
      </c>
      <c r="K473" s="12" t="inlineStr">
        <is>
          <t>Valid (Smart Meter)</t>
        </is>
      </c>
      <c r="L473" s="28" t="inlineStr">
        <is>
          <t>Evening living / Lighting / Heat</t>
        </is>
      </c>
    </row>
    <row r="474">
      <c r="A474" s="15" t="inlineStr">
        <is>
          <t>2025-11-14 22:00:00</t>
        </is>
      </c>
      <c r="B474" s="15" t="inlineStr">
        <is>
          <t>2025-11-14</t>
        </is>
      </c>
      <c r="C474" s="15" t="inlineStr">
        <is>
          <t>22:00</t>
        </is>
      </c>
      <c r="D474" s="15" t="inlineStr">
        <is>
          <t>Friday</t>
        </is>
      </c>
      <c r="E474" s="15" t="n">
        <v>472</v>
      </c>
      <c r="F474" s="25" t="n">
        <v>424800</v>
      </c>
      <c r="G474" s="25" t="n">
        <v>118</v>
      </c>
      <c r="H474" s="37" t="n">
        <v>1.854</v>
      </c>
      <c r="I474" s="38">
        <f>H474*0.25</f>
        <v/>
      </c>
      <c r="J474" s="35">
        <f>J473+I474</f>
        <v/>
      </c>
      <c r="K474" s="15" t="inlineStr">
        <is>
          <t>Valid (Smart Meter)</t>
        </is>
      </c>
      <c r="L474" s="26" t="inlineStr">
        <is>
          <t>Evening living / Lighting / Heat</t>
        </is>
      </c>
    </row>
    <row r="475">
      <c r="A475" s="15" t="inlineStr">
        <is>
          <t>2025-11-14 22:15:00</t>
        </is>
      </c>
      <c r="B475" s="15" t="inlineStr">
        <is>
          <t>2025-11-14</t>
        </is>
      </c>
      <c r="C475" s="15" t="inlineStr">
        <is>
          <t>22:15</t>
        </is>
      </c>
      <c r="D475" s="15" t="inlineStr">
        <is>
          <t>Friday</t>
        </is>
      </c>
      <c r="E475" s="15" t="n">
        <v>473</v>
      </c>
      <c r="F475" s="25" t="n">
        <v>425700</v>
      </c>
      <c r="G475" s="25" t="n">
        <v>118.25</v>
      </c>
      <c r="H475" s="37" t="n">
        <v>1.855</v>
      </c>
      <c r="I475" s="38">
        <f>H475*0.25</f>
        <v/>
      </c>
      <c r="J475" s="35">
        <f>J474+I475</f>
        <v/>
      </c>
      <c r="K475" s="15" t="inlineStr">
        <is>
          <t>Valid (Smart Meter)</t>
        </is>
      </c>
      <c r="L475" s="26" t="inlineStr">
        <is>
          <t>Evening living / Lighting / Heat</t>
        </is>
      </c>
    </row>
    <row r="476">
      <c r="A476" s="15" t="inlineStr">
        <is>
          <t>2025-11-14 22:30:00</t>
        </is>
      </c>
      <c r="B476" s="15" t="inlineStr">
        <is>
          <t>2025-11-14</t>
        </is>
      </c>
      <c r="C476" s="15" t="inlineStr">
        <is>
          <t>22:30</t>
        </is>
      </c>
      <c r="D476" s="15" t="inlineStr">
        <is>
          <t>Friday</t>
        </is>
      </c>
      <c r="E476" s="15" t="n">
        <v>474</v>
      </c>
      <c r="F476" s="25" t="n">
        <v>426600</v>
      </c>
      <c r="G476" s="25" t="n">
        <v>118.5</v>
      </c>
      <c r="H476" s="37" t="n">
        <v>1.812</v>
      </c>
      <c r="I476" s="38">
        <f>H476*0.25</f>
        <v/>
      </c>
      <c r="J476" s="35">
        <f>J475+I476</f>
        <v/>
      </c>
      <c r="K476" s="15" t="inlineStr">
        <is>
          <t>Valid (Smart Meter)</t>
        </is>
      </c>
      <c r="L476" s="26" t="inlineStr">
        <is>
          <t>Evening living / Lighting / Heat</t>
        </is>
      </c>
    </row>
    <row r="477">
      <c r="A477" s="15" t="inlineStr">
        <is>
          <t>2025-11-14 22:45:00</t>
        </is>
      </c>
      <c r="B477" s="15" t="inlineStr">
        <is>
          <t>2025-11-14</t>
        </is>
      </c>
      <c r="C477" s="15" t="inlineStr">
        <is>
          <t>22:45</t>
        </is>
      </c>
      <c r="D477" s="15" t="inlineStr">
        <is>
          <t>Friday</t>
        </is>
      </c>
      <c r="E477" s="15" t="n">
        <v>475</v>
      </c>
      <c r="F477" s="25" t="n">
        <v>427500</v>
      </c>
      <c r="G477" s="25" t="n">
        <v>118.75</v>
      </c>
      <c r="H477" s="37" t="n">
        <v>0.501</v>
      </c>
      <c r="I477" s="38">
        <f>H477*0.25</f>
        <v/>
      </c>
      <c r="J477" s="35">
        <f>J476+I477</f>
        <v/>
      </c>
      <c r="K477" s="15" t="inlineStr">
        <is>
          <t>Valid (Smart Meter)</t>
        </is>
      </c>
      <c r="L477" s="26" t="inlineStr">
        <is>
          <t>Night baseload / Heating</t>
        </is>
      </c>
    </row>
    <row r="478">
      <c r="A478" s="12" t="inlineStr">
        <is>
          <t>2025-11-14 23:00:00</t>
        </is>
      </c>
      <c r="B478" s="12" t="inlineStr">
        <is>
          <t>2025-11-14</t>
        </is>
      </c>
      <c r="C478" s="12" t="inlineStr">
        <is>
          <t>23:00</t>
        </is>
      </c>
      <c r="D478" s="12" t="inlineStr">
        <is>
          <t>Friday</t>
        </is>
      </c>
      <c r="E478" s="12" t="n">
        <v>476</v>
      </c>
      <c r="F478" s="27" t="n">
        <v>428400</v>
      </c>
      <c r="G478" s="27" t="n">
        <v>119</v>
      </c>
      <c r="H478" s="39" t="n">
        <v>0.574</v>
      </c>
      <c r="I478" s="40">
        <f>H478*0.25</f>
        <v/>
      </c>
      <c r="J478" s="34">
        <f>J477+I478</f>
        <v/>
      </c>
      <c r="K478" s="12" t="inlineStr">
        <is>
          <t>Valid (Smart Meter)</t>
        </is>
      </c>
      <c r="L478" s="28" t="inlineStr">
        <is>
          <t>Night baseload / Heating</t>
        </is>
      </c>
    </row>
    <row r="479">
      <c r="A479" s="12" t="inlineStr">
        <is>
          <t>2025-11-14 23:15:00</t>
        </is>
      </c>
      <c r="B479" s="12" t="inlineStr">
        <is>
          <t>2025-11-14</t>
        </is>
      </c>
      <c r="C479" s="12" t="inlineStr">
        <is>
          <t>23:15</t>
        </is>
      </c>
      <c r="D479" s="12" t="inlineStr">
        <is>
          <t>Friday</t>
        </is>
      </c>
      <c r="E479" s="12" t="n">
        <v>477</v>
      </c>
      <c r="F479" s="27" t="n">
        <v>429300</v>
      </c>
      <c r="G479" s="27" t="n">
        <v>119.25</v>
      </c>
      <c r="H479" s="39" t="n">
        <v>0.525</v>
      </c>
      <c r="I479" s="40">
        <f>H479*0.25</f>
        <v/>
      </c>
      <c r="J479" s="34">
        <f>J478+I479</f>
        <v/>
      </c>
      <c r="K479" s="12" t="inlineStr">
        <is>
          <t>Valid (Smart Meter)</t>
        </is>
      </c>
      <c r="L479" s="28" t="inlineStr">
        <is>
          <t>Night baseload / Heating</t>
        </is>
      </c>
    </row>
    <row r="480">
      <c r="A480" s="12" t="inlineStr">
        <is>
          <t>2025-11-14 23:30:00</t>
        </is>
      </c>
      <c r="B480" s="12" t="inlineStr">
        <is>
          <t>2025-11-14</t>
        </is>
      </c>
      <c r="C480" s="12" t="inlineStr">
        <is>
          <t>23:30</t>
        </is>
      </c>
      <c r="D480" s="12" t="inlineStr">
        <is>
          <t>Friday</t>
        </is>
      </c>
      <c r="E480" s="12" t="n">
        <v>478</v>
      </c>
      <c r="F480" s="27" t="n">
        <v>430200</v>
      </c>
      <c r="G480" s="27" t="n">
        <v>119.5</v>
      </c>
      <c r="H480" s="39" t="n">
        <v>0.439</v>
      </c>
      <c r="I480" s="40">
        <f>H480*0.25</f>
        <v/>
      </c>
      <c r="J480" s="34">
        <f>J479+I480</f>
        <v/>
      </c>
      <c r="K480" s="12" t="inlineStr">
        <is>
          <t>Valid (Smart Meter)</t>
        </is>
      </c>
      <c r="L480" s="28" t="inlineStr">
        <is>
          <t>Night baseload / Heating</t>
        </is>
      </c>
    </row>
    <row r="481">
      <c r="A481" s="12" t="inlineStr">
        <is>
          <t>2025-11-14 23:45:00</t>
        </is>
      </c>
      <c r="B481" s="12" t="inlineStr">
        <is>
          <t>2025-11-14</t>
        </is>
      </c>
      <c r="C481" s="12" t="inlineStr">
        <is>
          <t>23:45</t>
        </is>
      </c>
      <c r="D481" s="12" t="inlineStr">
        <is>
          <t>Friday</t>
        </is>
      </c>
      <c r="E481" s="12" t="n">
        <v>479</v>
      </c>
      <c r="F481" s="27" t="n">
        <v>431100</v>
      </c>
      <c r="G481" s="27" t="n">
        <v>119.75</v>
      </c>
      <c r="H481" s="39" t="n">
        <v>0.54</v>
      </c>
      <c r="I481" s="40">
        <f>H481*0.25</f>
        <v/>
      </c>
      <c r="J481" s="34">
        <f>J480+I481</f>
        <v/>
      </c>
      <c r="K481" s="12" t="inlineStr">
        <is>
          <t>Valid (Smart Meter)</t>
        </is>
      </c>
      <c r="L481" s="28" t="inlineStr">
        <is>
          <t>Night baseload / Heating</t>
        </is>
      </c>
    </row>
    <row r="482">
      <c r="A482" s="15" t="inlineStr">
        <is>
          <t>2025-11-15 00:00:00</t>
        </is>
      </c>
      <c r="B482" s="15" t="inlineStr">
        <is>
          <t>2025-11-15</t>
        </is>
      </c>
      <c r="C482" s="15" t="inlineStr">
        <is>
          <t>00:00</t>
        </is>
      </c>
      <c r="D482" s="15" t="inlineStr">
        <is>
          <t>Saturday</t>
        </is>
      </c>
      <c r="E482" s="15" t="n">
        <v>480</v>
      </c>
      <c r="F482" s="25" t="n">
        <v>432000</v>
      </c>
      <c r="G482" s="25" t="n">
        <v>120</v>
      </c>
      <c r="H482" s="37" t="n">
        <v>0.538</v>
      </c>
      <c r="I482" s="38">
        <f>H482*0.25</f>
        <v/>
      </c>
      <c r="J482" s="35">
        <f>J481+I482</f>
        <v/>
      </c>
      <c r="K482" s="15" t="inlineStr">
        <is>
          <t>Valid (Smart Meter)</t>
        </is>
      </c>
      <c r="L482" s="26" t="inlineStr">
        <is>
          <t>Night baseload / Heating</t>
        </is>
      </c>
    </row>
    <row r="483">
      <c r="A483" s="15" t="inlineStr">
        <is>
          <t>2025-11-15 00:15:00</t>
        </is>
      </c>
      <c r="B483" s="15" t="inlineStr">
        <is>
          <t>2025-11-15</t>
        </is>
      </c>
      <c r="C483" s="15" t="inlineStr">
        <is>
          <t>00:15</t>
        </is>
      </c>
      <c r="D483" s="15" t="inlineStr">
        <is>
          <t>Saturday</t>
        </is>
      </c>
      <c r="E483" s="15" t="n">
        <v>481</v>
      </c>
      <c r="F483" s="25" t="n">
        <v>432900</v>
      </c>
      <c r="G483" s="25" t="n">
        <v>120.25</v>
      </c>
      <c r="H483" s="37" t="n">
        <v>0.598</v>
      </c>
      <c r="I483" s="38">
        <f>H483*0.25</f>
        <v/>
      </c>
      <c r="J483" s="35">
        <f>J482+I483</f>
        <v/>
      </c>
      <c r="K483" s="15" t="inlineStr">
        <is>
          <t>Valid (Smart Meter)</t>
        </is>
      </c>
      <c r="L483" s="26" t="inlineStr">
        <is>
          <t>Night baseload / Heating</t>
        </is>
      </c>
    </row>
    <row r="484">
      <c r="A484" s="15" t="inlineStr">
        <is>
          <t>2025-11-15 00:30:00</t>
        </is>
      </c>
      <c r="B484" s="15" t="inlineStr">
        <is>
          <t>2025-11-15</t>
        </is>
      </c>
      <c r="C484" s="15" t="inlineStr">
        <is>
          <t>00:30</t>
        </is>
      </c>
      <c r="D484" s="15" t="inlineStr">
        <is>
          <t>Saturday</t>
        </is>
      </c>
      <c r="E484" s="15" t="n">
        <v>482</v>
      </c>
      <c r="F484" s="25" t="n">
        <v>433800</v>
      </c>
      <c r="G484" s="25" t="n">
        <v>120.5</v>
      </c>
      <c r="H484" s="37" t="n">
        <v>0.602</v>
      </c>
      <c r="I484" s="38">
        <f>H484*0.25</f>
        <v/>
      </c>
      <c r="J484" s="35">
        <f>J483+I484</f>
        <v/>
      </c>
      <c r="K484" s="15" t="inlineStr">
        <is>
          <t>Valid (Smart Meter)</t>
        </is>
      </c>
      <c r="L484" s="26" t="inlineStr">
        <is>
          <t>Night baseload / Heating</t>
        </is>
      </c>
    </row>
    <row r="485">
      <c r="A485" s="15" t="inlineStr">
        <is>
          <t>2025-11-15 00:45:00</t>
        </is>
      </c>
      <c r="B485" s="15" t="inlineStr">
        <is>
          <t>2025-11-15</t>
        </is>
      </c>
      <c r="C485" s="15" t="inlineStr">
        <is>
          <t>00:45</t>
        </is>
      </c>
      <c r="D485" s="15" t="inlineStr">
        <is>
          <t>Saturday</t>
        </is>
      </c>
      <c r="E485" s="15" t="n">
        <v>483</v>
      </c>
      <c r="F485" s="25" t="n">
        <v>434700</v>
      </c>
      <c r="G485" s="25" t="n">
        <v>120.75</v>
      </c>
      <c r="H485" s="37" t="n">
        <v>0.583</v>
      </c>
      <c r="I485" s="38">
        <f>H485*0.25</f>
        <v/>
      </c>
      <c r="J485" s="35">
        <f>J484+I485</f>
        <v/>
      </c>
      <c r="K485" s="15" t="inlineStr">
        <is>
          <t>Valid (Smart Meter)</t>
        </is>
      </c>
      <c r="L485" s="26" t="inlineStr">
        <is>
          <t>Night baseload / Heating</t>
        </is>
      </c>
    </row>
    <row r="486">
      <c r="A486" s="12" t="inlineStr">
        <is>
          <t>2025-11-15 01:00:00</t>
        </is>
      </c>
      <c r="B486" s="12" t="inlineStr">
        <is>
          <t>2025-11-15</t>
        </is>
      </c>
      <c r="C486" s="12" t="inlineStr">
        <is>
          <t>01:00</t>
        </is>
      </c>
      <c r="D486" s="12" t="inlineStr">
        <is>
          <t>Saturday</t>
        </is>
      </c>
      <c r="E486" s="12" t="n">
        <v>484</v>
      </c>
      <c r="F486" s="27" t="n">
        <v>435600</v>
      </c>
      <c r="G486" s="27" t="n">
        <v>121</v>
      </c>
      <c r="H486" s="39" t="n">
        <v>0.609</v>
      </c>
      <c r="I486" s="40">
        <f>H486*0.25</f>
        <v/>
      </c>
      <c r="J486" s="34">
        <f>J485+I486</f>
        <v/>
      </c>
      <c r="K486" s="12" t="inlineStr">
        <is>
          <t>Valid (Smart Meter)</t>
        </is>
      </c>
      <c r="L486" s="28" t="inlineStr">
        <is>
          <t>Night baseload / Heating</t>
        </is>
      </c>
    </row>
    <row r="487">
      <c r="A487" s="12" t="inlineStr">
        <is>
          <t>2025-11-15 01:15:00</t>
        </is>
      </c>
      <c r="B487" s="12" t="inlineStr">
        <is>
          <t>2025-11-15</t>
        </is>
      </c>
      <c r="C487" s="12" t="inlineStr">
        <is>
          <t>01:15</t>
        </is>
      </c>
      <c r="D487" s="12" t="inlineStr">
        <is>
          <t>Saturday</t>
        </is>
      </c>
      <c r="E487" s="12" t="n">
        <v>485</v>
      </c>
      <c r="F487" s="27" t="n">
        <v>436500</v>
      </c>
      <c r="G487" s="27" t="n">
        <v>121.25</v>
      </c>
      <c r="H487" s="39" t="n">
        <v>0.636</v>
      </c>
      <c r="I487" s="40">
        <f>H487*0.25</f>
        <v/>
      </c>
      <c r="J487" s="34">
        <f>J486+I487</f>
        <v/>
      </c>
      <c r="K487" s="12" t="inlineStr">
        <is>
          <t>Valid (Smart Meter)</t>
        </is>
      </c>
      <c r="L487" s="28" t="inlineStr">
        <is>
          <t>Night baseload / Heating</t>
        </is>
      </c>
    </row>
    <row r="488">
      <c r="A488" s="12" t="inlineStr">
        <is>
          <t>2025-11-15 01:30:00</t>
        </is>
      </c>
      <c r="B488" s="12" t="inlineStr">
        <is>
          <t>2025-11-15</t>
        </is>
      </c>
      <c r="C488" s="12" t="inlineStr">
        <is>
          <t>01:30</t>
        </is>
      </c>
      <c r="D488" s="12" t="inlineStr">
        <is>
          <t>Saturday</t>
        </is>
      </c>
      <c r="E488" s="12" t="n">
        <v>486</v>
      </c>
      <c r="F488" s="27" t="n">
        <v>437400</v>
      </c>
      <c r="G488" s="27" t="n">
        <v>121.5</v>
      </c>
      <c r="H488" s="39" t="n">
        <v>0.626</v>
      </c>
      <c r="I488" s="40">
        <f>H488*0.25</f>
        <v/>
      </c>
      <c r="J488" s="34">
        <f>J487+I488</f>
        <v/>
      </c>
      <c r="K488" s="12" t="inlineStr">
        <is>
          <t>Valid (Smart Meter)</t>
        </is>
      </c>
      <c r="L488" s="28" t="inlineStr">
        <is>
          <t>Night baseload / Heating</t>
        </is>
      </c>
    </row>
    <row r="489">
      <c r="A489" s="12" t="inlineStr">
        <is>
          <t>2025-11-15 01:45:00</t>
        </is>
      </c>
      <c r="B489" s="12" t="inlineStr">
        <is>
          <t>2025-11-15</t>
        </is>
      </c>
      <c r="C489" s="12" t="inlineStr">
        <is>
          <t>01:45</t>
        </is>
      </c>
      <c r="D489" s="12" t="inlineStr">
        <is>
          <t>Saturday</t>
        </is>
      </c>
      <c r="E489" s="12" t="n">
        <v>487</v>
      </c>
      <c r="F489" s="27" t="n">
        <v>438300</v>
      </c>
      <c r="G489" s="27" t="n">
        <v>121.75</v>
      </c>
      <c r="H489" s="39" t="n">
        <v>0.5580000000000001</v>
      </c>
      <c r="I489" s="40">
        <f>H489*0.25</f>
        <v/>
      </c>
      <c r="J489" s="34">
        <f>J488+I489</f>
        <v/>
      </c>
      <c r="K489" s="12" t="inlineStr">
        <is>
          <t>Valid (Smart Meter)</t>
        </is>
      </c>
      <c r="L489" s="28" t="inlineStr">
        <is>
          <t>Night baseload / Heating</t>
        </is>
      </c>
    </row>
    <row r="490">
      <c r="A490" s="15" t="inlineStr">
        <is>
          <t>2025-11-15 02:00:00</t>
        </is>
      </c>
      <c r="B490" s="15" t="inlineStr">
        <is>
          <t>2025-11-15</t>
        </is>
      </c>
      <c r="C490" s="15" t="inlineStr">
        <is>
          <t>02:00</t>
        </is>
      </c>
      <c r="D490" s="15" t="inlineStr">
        <is>
          <t>Saturday</t>
        </is>
      </c>
      <c r="E490" s="15" t="n">
        <v>488</v>
      </c>
      <c r="F490" s="25" t="n">
        <v>439200</v>
      </c>
      <c r="G490" s="25" t="n">
        <v>122</v>
      </c>
      <c r="H490" s="37" t="n">
        <v>0.5659999999999999</v>
      </c>
      <c r="I490" s="38">
        <f>H490*0.25</f>
        <v/>
      </c>
      <c r="J490" s="35">
        <f>J489+I490</f>
        <v/>
      </c>
      <c r="K490" s="15" t="inlineStr">
        <is>
          <t>Valid (Smart Meter)</t>
        </is>
      </c>
      <c r="L490" s="26" t="inlineStr">
        <is>
          <t>Night baseload / Heating</t>
        </is>
      </c>
    </row>
    <row r="491">
      <c r="A491" s="15" t="inlineStr">
        <is>
          <t>2025-11-15 02:15:00</t>
        </is>
      </c>
      <c r="B491" s="15" t="inlineStr">
        <is>
          <t>2025-11-15</t>
        </is>
      </c>
      <c r="C491" s="15" t="inlineStr">
        <is>
          <t>02:15</t>
        </is>
      </c>
      <c r="D491" s="15" t="inlineStr">
        <is>
          <t>Saturday</t>
        </is>
      </c>
      <c r="E491" s="15" t="n">
        <v>489</v>
      </c>
      <c r="F491" s="25" t="n">
        <v>440100</v>
      </c>
      <c r="G491" s="25" t="n">
        <v>122.25</v>
      </c>
      <c r="H491" s="37" t="n">
        <v>0.632</v>
      </c>
      <c r="I491" s="38">
        <f>H491*0.25</f>
        <v/>
      </c>
      <c r="J491" s="35">
        <f>J490+I491</f>
        <v/>
      </c>
      <c r="K491" s="15" t="inlineStr">
        <is>
          <t>Valid (Smart Meter)</t>
        </is>
      </c>
      <c r="L491" s="26" t="inlineStr">
        <is>
          <t>Night baseload / Heating</t>
        </is>
      </c>
    </row>
    <row r="492">
      <c r="A492" s="15" t="inlineStr">
        <is>
          <t>2025-11-15 02:30:00</t>
        </is>
      </c>
      <c r="B492" s="15" t="inlineStr">
        <is>
          <t>2025-11-15</t>
        </is>
      </c>
      <c r="C492" s="15" t="inlineStr">
        <is>
          <t>02:30</t>
        </is>
      </c>
      <c r="D492" s="15" t="inlineStr">
        <is>
          <t>Saturday</t>
        </is>
      </c>
      <c r="E492" s="15" t="n">
        <v>490</v>
      </c>
      <c r="F492" s="25" t="n">
        <v>441000</v>
      </c>
      <c r="G492" s="25" t="n">
        <v>122.5</v>
      </c>
      <c r="H492" s="37" t="n">
        <v>0.555</v>
      </c>
      <c r="I492" s="38">
        <f>H492*0.25</f>
        <v/>
      </c>
      <c r="J492" s="35">
        <f>J491+I492</f>
        <v/>
      </c>
      <c r="K492" s="15" t="inlineStr">
        <is>
          <t>Valid (Smart Meter)</t>
        </is>
      </c>
      <c r="L492" s="26" t="inlineStr">
        <is>
          <t>Night baseload / Heating</t>
        </is>
      </c>
    </row>
    <row r="493">
      <c r="A493" s="15" t="inlineStr">
        <is>
          <t>2025-11-15 02:45:00</t>
        </is>
      </c>
      <c r="B493" s="15" t="inlineStr">
        <is>
          <t>2025-11-15</t>
        </is>
      </c>
      <c r="C493" s="15" t="inlineStr">
        <is>
          <t>02:45</t>
        </is>
      </c>
      <c r="D493" s="15" t="inlineStr">
        <is>
          <t>Saturday</t>
        </is>
      </c>
      <c r="E493" s="15" t="n">
        <v>491</v>
      </c>
      <c r="F493" s="25" t="n">
        <v>441900</v>
      </c>
      <c r="G493" s="25" t="n">
        <v>122.75</v>
      </c>
      <c r="H493" s="37" t="n">
        <v>0.463</v>
      </c>
      <c r="I493" s="38">
        <f>H493*0.25</f>
        <v/>
      </c>
      <c r="J493" s="35">
        <f>J492+I493</f>
        <v/>
      </c>
      <c r="K493" s="15" t="inlineStr">
        <is>
          <t>Valid (Smart Meter)</t>
        </is>
      </c>
      <c r="L493" s="26" t="inlineStr">
        <is>
          <t>Night baseload / Heating</t>
        </is>
      </c>
    </row>
    <row r="494">
      <c r="A494" s="12" t="inlineStr">
        <is>
          <t>2025-11-15 03:00:00</t>
        </is>
      </c>
      <c r="B494" s="12" t="inlineStr">
        <is>
          <t>2025-11-15</t>
        </is>
      </c>
      <c r="C494" s="12" t="inlineStr">
        <is>
          <t>03:00</t>
        </is>
      </c>
      <c r="D494" s="12" t="inlineStr">
        <is>
          <t>Saturday</t>
        </is>
      </c>
      <c r="E494" s="12" t="n">
        <v>492</v>
      </c>
      <c r="F494" s="27" t="n">
        <v>442800</v>
      </c>
      <c r="G494" s="27" t="n">
        <v>123</v>
      </c>
      <c r="H494" s="39" t="n">
        <v>0.432</v>
      </c>
      <c r="I494" s="40">
        <f>H494*0.25</f>
        <v/>
      </c>
      <c r="J494" s="34">
        <f>J493+I494</f>
        <v/>
      </c>
      <c r="K494" s="12" t="inlineStr">
        <is>
          <t>Valid (Smart Meter)</t>
        </is>
      </c>
      <c r="L494" s="28" t="inlineStr">
        <is>
          <t>Night baseload / Heating</t>
        </is>
      </c>
    </row>
    <row r="495">
      <c r="A495" s="12" t="inlineStr">
        <is>
          <t>2025-11-15 03:15:00</t>
        </is>
      </c>
      <c r="B495" s="12" t="inlineStr">
        <is>
          <t>2025-11-15</t>
        </is>
      </c>
      <c r="C495" s="12" t="inlineStr">
        <is>
          <t>03:15</t>
        </is>
      </c>
      <c r="D495" s="12" t="inlineStr">
        <is>
          <t>Saturday</t>
        </is>
      </c>
      <c r="E495" s="12" t="n">
        <v>493</v>
      </c>
      <c r="F495" s="27" t="n">
        <v>443700</v>
      </c>
      <c r="G495" s="27" t="n">
        <v>123.25</v>
      </c>
      <c r="H495" s="39" t="n">
        <v>0.461</v>
      </c>
      <c r="I495" s="40">
        <f>H495*0.25</f>
        <v/>
      </c>
      <c r="J495" s="34">
        <f>J494+I495</f>
        <v/>
      </c>
      <c r="K495" s="12" t="inlineStr">
        <is>
          <t>Valid (Smart Meter)</t>
        </is>
      </c>
      <c r="L495" s="28" t="inlineStr">
        <is>
          <t>Night baseload / Heating</t>
        </is>
      </c>
    </row>
    <row r="496">
      <c r="A496" s="12" t="inlineStr">
        <is>
          <t>2025-11-15 03:30:00</t>
        </is>
      </c>
      <c r="B496" s="12" t="inlineStr">
        <is>
          <t>2025-11-15</t>
        </is>
      </c>
      <c r="C496" s="12" t="inlineStr">
        <is>
          <t>03:30</t>
        </is>
      </c>
      <c r="D496" s="12" t="inlineStr">
        <is>
          <t>Saturday</t>
        </is>
      </c>
      <c r="E496" s="12" t="n">
        <v>494</v>
      </c>
      <c r="F496" s="27" t="n">
        <v>444600</v>
      </c>
      <c r="G496" s="27" t="n">
        <v>123.5</v>
      </c>
      <c r="H496" s="39" t="n">
        <v>0.532</v>
      </c>
      <c r="I496" s="40">
        <f>H496*0.25</f>
        <v/>
      </c>
      <c r="J496" s="34">
        <f>J495+I496</f>
        <v/>
      </c>
      <c r="K496" s="12" t="inlineStr">
        <is>
          <t>Valid (Smart Meter)</t>
        </is>
      </c>
      <c r="L496" s="28" t="inlineStr">
        <is>
          <t>Night baseload / Heating</t>
        </is>
      </c>
    </row>
    <row r="497">
      <c r="A497" s="12" t="inlineStr">
        <is>
          <t>2025-11-15 03:45:00</t>
        </is>
      </c>
      <c r="B497" s="12" t="inlineStr">
        <is>
          <t>2025-11-15</t>
        </is>
      </c>
      <c r="C497" s="12" t="inlineStr">
        <is>
          <t>03:45</t>
        </is>
      </c>
      <c r="D497" s="12" t="inlineStr">
        <is>
          <t>Saturday</t>
        </is>
      </c>
      <c r="E497" s="12" t="n">
        <v>495</v>
      </c>
      <c r="F497" s="27" t="n">
        <v>445500</v>
      </c>
      <c r="G497" s="27" t="n">
        <v>123.75</v>
      </c>
      <c r="H497" s="39" t="n">
        <v>0.49</v>
      </c>
      <c r="I497" s="40">
        <f>H497*0.25</f>
        <v/>
      </c>
      <c r="J497" s="34">
        <f>J496+I497</f>
        <v/>
      </c>
      <c r="K497" s="12" t="inlineStr">
        <is>
          <t>Valid (Smart Meter)</t>
        </is>
      </c>
      <c r="L497" s="28" t="inlineStr">
        <is>
          <t>Night baseload / Heating</t>
        </is>
      </c>
    </row>
    <row r="498">
      <c r="A498" s="15" t="inlineStr">
        <is>
          <t>2025-11-15 04:00:00</t>
        </is>
      </c>
      <c r="B498" s="15" t="inlineStr">
        <is>
          <t>2025-11-15</t>
        </is>
      </c>
      <c r="C498" s="15" t="inlineStr">
        <is>
          <t>04:00</t>
        </is>
      </c>
      <c r="D498" s="15" t="inlineStr">
        <is>
          <t>Saturday</t>
        </is>
      </c>
      <c r="E498" s="15" t="n">
        <v>496</v>
      </c>
      <c r="F498" s="25" t="n">
        <v>446400</v>
      </c>
      <c r="G498" s="25" t="n">
        <v>124</v>
      </c>
      <c r="H498" s="37" t="n">
        <v>0.578</v>
      </c>
      <c r="I498" s="38">
        <f>H498*0.25</f>
        <v/>
      </c>
      <c r="J498" s="35">
        <f>J497+I498</f>
        <v/>
      </c>
      <c r="K498" s="15" t="inlineStr">
        <is>
          <t>Valid (Smart Meter)</t>
        </is>
      </c>
      <c r="L498" s="26" t="inlineStr">
        <is>
          <t>Night baseload / Heating</t>
        </is>
      </c>
    </row>
    <row r="499">
      <c r="A499" s="15" t="inlineStr">
        <is>
          <t>2025-11-15 04:15:00</t>
        </is>
      </c>
      <c r="B499" s="15" t="inlineStr">
        <is>
          <t>2025-11-15</t>
        </is>
      </c>
      <c r="C499" s="15" t="inlineStr">
        <is>
          <t>04:15</t>
        </is>
      </c>
      <c r="D499" s="15" t="inlineStr">
        <is>
          <t>Saturday</t>
        </is>
      </c>
      <c r="E499" s="15" t="n">
        <v>497</v>
      </c>
      <c r="F499" s="25" t="n">
        <v>447300</v>
      </c>
      <c r="G499" s="25" t="n">
        <v>124.25</v>
      </c>
      <c r="H499" s="37" t="n">
        <v>0.594</v>
      </c>
      <c r="I499" s="38">
        <f>H499*0.25</f>
        <v/>
      </c>
      <c r="J499" s="35">
        <f>J498+I499</f>
        <v/>
      </c>
      <c r="K499" s="15" t="inlineStr">
        <is>
          <t>Valid (Smart Meter)</t>
        </is>
      </c>
      <c r="L499" s="26" t="inlineStr">
        <is>
          <t>Night baseload / Heating</t>
        </is>
      </c>
    </row>
    <row r="500">
      <c r="A500" s="15" t="inlineStr">
        <is>
          <t>2025-11-15 04:30:00</t>
        </is>
      </c>
      <c r="B500" s="15" t="inlineStr">
        <is>
          <t>2025-11-15</t>
        </is>
      </c>
      <c r="C500" s="15" t="inlineStr">
        <is>
          <t>04:30</t>
        </is>
      </c>
      <c r="D500" s="15" t="inlineStr">
        <is>
          <t>Saturday</t>
        </is>
      </c>
      <c r="E500" s="15" t="n">
        <v>498</v>
      </c>
      <c r="F500" s="25" t="n">
        <v>448200</v>
      </c>
      <c r="G500" s="25" t="n">
        <v>124.5</v>
      </c>
      <c r="H500" s="37" t="n">
        <v>0.707</v>
      </c>
      <c r="I500" s="38">
        <f>H500*0.25</f>
        <v/>
      </c>
      <c r="J500" s="35">
        <f>J499+I500</f>
        <v/>
      </c>
      <c r="K500" s="15" t="inlineStr">
        <is>
          <t>Valid (Smart Meter)</t>
        </is>
      </c>
      <c r="L500" s="26" t="inlineStr">
        <is>
          <t>Night baseload / Heating</t>
        </is>
      </c>
    </row>
    <row r="501">
      <c r="A501" s="15" t="inlineStr">
        <is>
          <t>2025-11-15 04:45:00</t>
        </is>
      </c>
      <c r="B501" s="15" t="inlineStr">
        <is>
          <t>2025-11-15</t>
        </is>
      </c>
      <c r="C501" s="15" t="inlineStr">
        <is>
          <t>04:45</t>
        </is>
      </c>
      <c r="D501" s="15" t="inlineStr">
        <is>
          <t>Saturday</t>
        </is>
      </c>
      <c r="E501" s="15" t="n">
        <v>499</v>
      </c>
      <c r="F501" s="25" t="n">
        <v>449100</v>
      </c>
      <c r="G501" s="25" t="n">
        <v>124.75</v>
      </c>
      <c r="H501" s="37" t="n">
        <v>0.63</v>
      </c>
      <c r="I501" s="38">
        <f>H501*0.25</f>
        <v/>
      </c>
      <c r="J501" s="35">
        <f>J500+I501</f>
        <v/>
      </c>
      <c r="K501" s="15" t="inlineStr">
        <is>
          <t>Valid (Smart Meter)</t>
        </is>
      </c>
      <c r="L501" s="26" t="inlineStr">
        <is>
          <t>Night baseload / Heating</t>
        </is>
      </c>
    </row>
    <row r="502">
      <c r="A502" s="12" t="inlineStr">
        <is>
          <t>2025-11-15 05:00:00</t>
        </is>
      </c>
      <c r="B502" s="12" t="inlineStr">
        <is>
          <t>2025-11-15</t>
        </is>
      </c>
      <c r="C502" s="12" t="inlineStr">
        <is>
          <t>05:00</t>
        </is>
      </c>
      <c r="D502" s="12" t="inlineStr">
        <is>
          <t>Saturday</t>
        </is>
      </c>
      <c r="E502" s="12" t="n">
        <v>500</v>
      </c>
      <c r="F502" s="27" t="n">
        <v>450000</v>
      </c>
      <c r="G502" s="27" t="n">
        <v>125</v>
      </c>
      <c r="H502" s="39" t="n">
        <v>0.697</v>
      </c>
      <c r="I502" s="40">
        <f>H502*0.25</f>
        <v/>
      </c>
      <c r="J502" s="34">
        <f>J501+I502</f>
        <v/>
      </c>
      <c r="K502" s="12" t="inlineStr">
        <is>
          <t>Valid (Smart Meter)</t>
        </is>
      </c>
      <c r="L502" s="28" t="inlineStr">
        <is>
          <t>Night baseload / Heating</t>
        </is>
      </c>
    </row>
    <row r="503">
      <c r="A503" s="12" t="inlineStr">
        <is>
          <t>2025-11-15 05:15:00</t>
        </is>
      </c>
      <c r="B503" s="12" t="inlineStr">
        <is>
          <t>2025-11-15</t>
        </is>
      </c>
      <c r="C503" s="12" t="inlineStr">
        <is>
          <t>05:15</t>
        </is>
      </c>
      <c r="D503" s="12" t="inlineStr">
        <is>
          <t>Saturday</t>
        </is>
      </c>
      <c r="E503" s="12" t="n">
        <v>501</v>
      </c>
      <c r="F503" s="27" t="n">
        <v>450900</v>
      </c>
      <c r="G503" s="27" t="n">
        <v>125.25</v>
      </c>
      <c r="H503" s="39" t="n">
        <v>0.632</v>
      </c>
      <c r="I503" s="40">
        <f>H503*0.25</f>
        <v/>
      </c>
      <c r="J503" s="34">
        <f>J502+I503</f>
        <v/>
      </c>
      <c r="K503" s="12" t="inlineStr">
        <is>
          <t>Valid (Smart Meter)</t>
        </is>
      </c>
      <c r="L503" s="28" t="inlineStr">
        <is>
          <t>Night baseload / Heating</t>
        </is>
      </c>
    </row>
    <row r="504">
      <c r="A504" s="12" t="inlineStr">
        <is>
          <t>2025-11-15 05:30:00</t>
        </is>
      </c>
      <c r="B504" s="12" t="inlineStr">
        <is>
          <t>2025-11-15</t>
        </is>
      </c>
      <c r="C504" s="12" t="inlineStr">
        <is>
          <t>05:30</t>
        </is>
      </c>
      <c r="D504" s="12" t="inlineStr">
        <is>
          <t>Saturday</t>
        </is>
      </c>
      <c r="E504" s="12" t="n">
        <v>502</v>
      </c>
      <c r="F504" s="27" t="n">
        <v>451800</v>
      </c>
      <c r="G504" s="27" t="n">
        <v>125.5</v>
      </c>
      <c r="H504" s="39" t="n">
        <v>0.674</v>
      </c>
      <c r="I504" s="40">
        <f>H504*0.25</f>
        <v/>
      </c>
      <c r="J504" s="34">
        <f>J503+I504</f>
        <v/>
      </c>
      <c r="K504" s="12" t="inlineStr">
        <is>
          <t>Valid (Smart Meter)</t>
        </is>
      </c>
      <c r="L504" s="28" t="inlineStr">
        <is>
          <t>Night baseload / Heating</t>
        </is>
      </c>
    </row>
    <row r="505">
      <c r="A505" s="12" t="inlineStr">
        <is>
          <t>2025-11-15 05:45:00</t>
        </is>
      </c>
      <c r="B505" s="12" t="inlineStr">
        <is>
          <t>2025-11-15</t>
        </is>
      </c>
      <c r="C505" s="12" t="inlineStr">
        <is>
          <t>05:45</t>
        </is>
      </c>
      <c r="D505" s="12" t="inlineStr">
        <is>
          <t>Saturday</t>
        </is>
      </c>
      <c r="E505" s="12" t="n">
        <v>503</v>
      </c>
      <c r="F505" s="27" t="n">
        <v>452700</v>
      </c>
      <c r="G505" s="27" t="n">
        <v>125.75</v>
      </c>
      <c r="H505" s="39" t="n">
        <v>0.772</v>
      </c>
      <c r="I505" s="40">
        <f>H505*0.25</f>
        <v/>
      </c>
      <c r="J505" s="34">
        <f>J504+I505</f>
        <v/>
      </c>
      <c r="K505" s="12" t="inlineStr">
        <is>
          <t>Valid (Smart Meter)</t>
        </is>
      </c>
      <c r="L505" s="28" t="inlineStr">
        <is>
          <t>Night baseload / Heating</t>
        </is>
      </c>
    </row>
    <row r="506">
      <c r="A506" s="15" t="inlineStr">
        <is>
          <t>2025-11-15 06:00:00</t>
        </is>
      </c>
      <c r="B506" s="15" t="inlineStr">
        <is>
          <t>2025-11-15</t>
        </is>
      </c>
      <c r="C506" s="15" t="inlineStr">
        <is>
          <t>06:00</t>
        </is>
      </c>
      <c r="D506" s="15" t="inlineStr">
        <is>
          <t>Saturday</t>
        </is>
      </c>
      <c r="E506" s="15" t="n">
        <v>504</v>
      </c>
      <c r="F506" s="25" t="n">
        <v>453600</v>
      </c>
      <c r="G506" s="25" t="n">
        <v>126</v>
      </c>
      <c r="H506" s="37" t="n">
        <v>0.663</v>
      </c>
      <c r="I506" s="38">
        <f>H506*0.25</f>
        <v/>
      </c>
      <c r="J506" s="35">
        <f>J505+I506</f>
        <v/>
      </c>
      <c r="K506" s="15" t="inlineStr">
        <is>
          <t>Valid (Smart Meter)</t>
        </is>
      </c>
      <c r="L506" s="26" t="inlineStr">
        <is>
          <t>Night baseload / Heating</t>
        </is>
      </c>
    </row>
    <row r="507">
      <c r="A507" s="15" t="inlineStr">
        <is>
          <t>2025-11-15 06:15:00</t>
        </is>
      </c>
      <c r="B507" s="15" t="inlineStr">
        <is>
          <t>2025-11-15</t>
        </is>
      </c>
      <c r="C507" s="15" t="inlineStr">
        <is>
          <t>06:15</t>
        </is>
      </c>
      <c r="D507" s="15" t="inlineStr">
        <is>
          <t>Saturday</t>
        </is>
      </c>
      <c r="E507" s="15" t="n">
        <v>505</v>
      </c>
      <c r="F507" s="25" t="n">
        <v>454500</v>
      </c>
      <c r="G507" s="25" t="n">
        <v>126.25</v>
      </c>
      <c r="H507" s="37" t="n">
        <v>0.663</v>
      </c>
      <c r="I507" s="38">
        <f>H507*0.25</f>
        <v/>
      </c>
      <c r="J507" s="35">
        <f>J506+I507</f>
        <v/>
      </c>
      <c r="K507" s="15" t="inlineStr">
        <is>
          <t>Valid (Smart Meter)</t>
        </is>
      </c>
      <c r="L507" s="26" t="inlineStr">
        <is>
          <t>Night baseload / Heating</t>
        </is>
      </c>
    </row>
    <row r="508">
      <c r="A508" s="15" t="inlineStr">
        <is>
          <t>2025-11-15 06:30:00</t>
        </is>
      </c>
      <c r="B508" s="15" t="inlineStr">
        <is>
          <t>2025-11-15</t>
        </is>
      </c>
      <c r="C508" s="15" t="inlineStr">
        <is>
          <t>06:30</t>
        </is>
      </c>
      <c r="D508" s="15" t="inlineStr">
        <is>
          <t>Saturday</t>
        </is>
      </c>
      <c r="E508" s="15" t="n">
        <v>506</v>
      </c>
      <c r="F508" s="25" t="n">
        <v>455400</v>
      </c>
      <c r="G508" s="25" t="n">
        <v>126.5</v>
      </c>
      <c r="H508" s="37" t="n">
        <v>0.6919999999999999</v>
      </c>
      <c r="I508" s="38">
        <f>H508*0.25</f>
        <v/>
      </c>
      <c r="J508" s="35">
        <f>J507+I508</f>
        <v/>
      </c>
      <c r="K508" s="15" t="inlineStr">
        <is>
          <t>Valid (Smart Meter)</t>
        </is>
      </c>
      <c r="L508" s="26" t="inlineStr">
        <is>
          <t>Night baseload / Heating</t>
        </is>
      </c>
    </row>
    <row r="509">
      <c r="A509" s="15" t="inlineStr">
        <is>
          <t>2025-11-15 06:45:00</t>
        </is>
      </c>
      <c r="B509" s="15" t="inlineStr">
        <is>
          <t>2025-11-15</t>
        </is>
      </c>
      <c r="C509" s="15" t="inlineStr">
        <is>
          <t>06:45</t>
        </is>
      </c>
      <c r="D509" s="15" t="inlineStr">
        <is>
          <t>Saturday</t>
        </is>
      </c>
      <c r="E509" s="15" t="n">
        <v>507</v>
      </c>
      <c r="F509" s="25" t="n">
        <v>456300</v>
      </c>
      <c r="G509" s="25" t="n">
        <v>126.75</v>
      </c>
      <c r="H509" s="37" t="n">
        <v>0.576</v>
      </c>
      <c r="I509" s="38">
        <f>H509*0.25</f>
        <v/>
      </c>
      <c r="J509" s="35">
        <f>J508+I509</f>
        <v/>
      </c>
      <c r="K509" s="15" t="inlineStr">
        <is>
          <t>Valid (Smart Meter)</t>
        </is>
      </c>
      <c r="L509" s="26" t="inlineStr">
        <is>
          <t>Night baseload / Heating</t>
        </is>
      </c>
    </row>
    <row r="510">
      <c r="A510" s="12" t="inlineStr">
        <is>
          <t>2025-11-15 07:00:00</t>
        </is>
      </c>
      <c r="B510" s="12" t="inlineStr">
        <is>
          <t>2025-11-15</t>
        </is>
      </c>
      <c r="C510" s="12" t="inlineStr">
        <is>
          <t>07:00</t>
        </is>
      </c>
      <c r="D510" s="12" t="inlineStr">
        <is>
          <t>Saturday</t>
        </is>
      </c>
      <c r="E510" s="12" t="n">
        <v>508</v>
      </c>
      <c r="F510" s="27" t="n">
        <v>457200</v>
      </c>
      <c r="G510" s="27" t="n">
        <v>127</v>
      </c>
      <c r="H510" s="39" t="n">
        <v>0.498</v>
      </c>
      <c r="I510" s="40">
        <f>H510*0.25</f>
        <v/>
      </c>
      <c r="J510" s="34">
        <f>J509+I510</f>
        <v/>
      </c>
      <c r="K510" s="12" t="inlineStr">
        <is>
          <t>Valid (Smart Meter)</t>
        </is>
      </c>
      <c r="L510" s="28" t="inlineStr">
        <is>
          <t>Night baseload / Heating</t>
        </is>
      </c>
    </row>
    <row r="511">
      <c r="A511" s="12" t="inlineStr">
        <is>
          <t>2025-11-15 07:15:00</t>
        </is>
      </c>
      <c r="B511" s="12" t="inlineStr">
        <is>
          <t>2025-11-15</t>
        </is>
      </c>
      <c r="C511" s="12" t="inlineStr">
        <is>
          <t>07:15</t>
        </is>
      </c>
      <c r="D511" s="12" t="inlineStr">
        <is>
          <t>Saturday</t>
        </is>
      </c>
      <c r="E511" s="12" t="n">
        <v>509</v>
      </c>
      <c r="F511" s="27" t="n">
        <v>458100</v>
      </c>
      <c r="G511" s="27" t="n">
        <v>127.25</v>
      </c>
      <c r="H511" s="39" t="n">
        <v>0.473</v>
      </c>
      <c r="I511" s="40">
        <f>H511*0.25</f>
        <v/>
      </c>
      <c r="J511" s="34">
        <f>J510+I511</f>
        <v/>
      </c>
      <c r="K511" s="12" t="inlineStr">
        <is>
          <t>Valid (Smart Meter)</t>
        </is>
      </c>
      <c r="L511" s="28" t="inlineStr">
        <is>
          <t>Night baseload / Heating</t>
        </is>
      </c>
    </row>
    <row r="512">
      <c r="A512" s="12" t="inlineStr">
        <is>
          <t>2025-11-15 07:30:00</t>
        </is>
      </c>
      <c r="B512" s="12" t="inlineStr">
        <is>
          <t>2025-11-15</t>
        </is>
      </c>
      <c r="C512" s="12" t="inlineStr">
        <is>
          <t>07:30</t>
        </is>
      </c>
      <c r="D512" s="12" t="inlineStr">
        <is>
          <t>Saturday</t>
        </is>
      </c>
      <c r="E512" s="12" t="n">
        <v>510</v>
      </c>
      <c r="F512" s="27" t="n">
        <v>459000</v>
      </c>
      <c r="G512" s="27" t="n">
        <v>127.5</v>
      </c>
      <c r="H512" s="39" t="n">
        <v>1.974</v>
      </c>
      <c r="I512" s="40">
        <f>H512*0.25</f>
        <v/>
      </c>
      <c r="J512" s="34">
        <f>J511+I512</f>
        <v/>
      </c>
      <c r="K512" s="12" t="inlineStr">
        <is>
          <t>Valid (Smart Meter)</t>
        </is>
      </c>
      <c r="L512" s="28" t="inlineStr">
        <is>
          <t>Weekend breakfast &amp; morning activities</t>
        </is>
      </c>
    </row>
    <row r="513">
      <c r="A513" s="12" t="inlineStr">
        <is>
          <t>2025-11-15 07:45:00</t>
        </is>
      </c>
      <c r="B513" s="12" t="inlineStr">
        <is>
          <t>2025-11-15</t>
        </is>
      </c>
      <c r="C513" s="12" t="inlineStr">
        <is>
          <t>07:45</t>
        </is>
      </c>
      <c r="D513" s="12" t="inlineStr">
        <is>
          <t>Saturday</t>
        </is>
      </c>
      <c r="E513" s="12" t="n">
        <v>511</v>
      </c>
      <c r="F513" s="27" t="n">
        <v>459900</v>
      </c>
      <c r="G513" s="27" t="n">
        <v>127.75</v>
      </c>
      <c r="H513" s="39" t="n">
        <v>2.259</v>
      </c>
      <c r="I513" s="40">
        <f>H513*0.25</f>
        <v/>
      </c>
      <c r="J513" s="34">
        <f>J512+I513</f>
        <v/>
      </c>
      <c r="K513" s="12" t="inlineStr">
        <is>
          <t>Valid (Smart Meter)</t>
        </is>
      </c>
      <c r="L513" s="28" t="inlineStr">
        <is>
          <t>Weekend breakfast &amp; morning activities</t>
        </is>
      </c>
    </row>
    <row r="514">
      <c r="A514" s="15" t="inlineStr">
        <is>
          <t>2025-11-15 08:00:00</t>
        </is>
      </c>
      <c r="B514" s="15" t="inlineStr">
        <is>
          <t>2025-11-15</t>
        </is>
      </c>
      <c r="C514" s="15" t="inlineStr">
        <is>
          <t>08:00</t>
        </is>
      </c>
      <c r="D514" s="15" t="inlineStr">
        <is>
          <t>Saturday</t>
        </is>
      </c>
      <c r="E514" s="15" t="n">
        <v>512</v>
      </c>
      <c r="F514" s="25" t="n">
        <v>460800</v>
      </c>
      <c r="G514" s="25" t="n">
        <v>128</v>
      </c>
      <c r="H514" s="37" t="n">
        <v>2.245</v>
      </c>
      <c r="I514" s="38">
        <f>H514*0.25</f>
        <v/>
      </c>
      <c r="J514" s="35">
        <f>J513+I514</f>
        <v/>
      </c>
      <c r="K514" s="15" t="inlineStr">
        <is>
          <t>Valid (Smart Meter)</t>
        </is>
      </c>
      <c r="L514" s="26" t="inlineStr">
        <is>
          <t>Weekend breakfast &amp; morning activities</t>
        </is>
      </c>
    </row>
    <row r="515">
      <c r="A515" s="15" t="inlineStr">
        <is>
          <t>2025-11-15 08:15:00</t>
        </is>
      </c>
      <c r="B515" s="15" t="inlineStr">
        <is>
          <t>2025-11-15</t>
        </is>
      </c>
      <c r="C515" s="15" t="inlineStr">
        <is>
          <t>08:15</t>
        </is>
      </c>
      <c r="D515" s="15" t="inlineStr">
        <is>
          <t>Saturday</t>
        </is>
      </c>
      <c r="E515" s="15" t="n">
        <v>513</v>
      </c>
      <c r="F515" s="25" t="n">
        <v>461700</v>
      </c>
      <c r="G515" s="25" t="n">
        <v>128.25</v>
      </c>
      <c r="H515" s="37" t="n">
        <v>2.082</v>
      </c>
      <c r="I515" s="38">
        <f>H515*0.25</f>
        <v/>
      </c>
      <c r="J515" s="35">
        <f>J514+I515</f>
        <v/>
      </c>
      <c r="K515" s="15" t="inlineStr">
        <is>
          <t>Valid (Smart Meter)</t>
        </is>
      </c>
      <c r="L515" s="26" t="inlineStr">
        <is>
          <t>Weekend breakfast &amp; morning activities</t>
        </is>
      </c>
    </row>
    <row r="516">
      <c r="A516" s="15" t="inlineStr">
        <is>
          <t>2025-11-15 08:30:00</t>
        </is>
      </c>
      <c r="B516" s="15" t="inlineStr">
        <is>
          <t>2025-11-15</t>
        </is>
      </c>
      <c r="C516" s="15" t="inlineStr">
        <is>
          <t>08:30</t>
        </is>
      </c>
      <c r="D516" s="15" t="inlineStr">
        <is>
          <t>Saturday</t>
        </is>
      </c>
      <c r="E516" s="15" t="n">
        <v>514</v>
      </c>
      <c r="F516" s="25" t="n">
        <v>462600</v>
      </c>
      <c r="G516" s="25" t="n">
        <v>128.5</v>
      </c>
      <c r="H516" s="37" t="n">
        <v>4.194</v>
      </c>
      <c r="I516" s="38">
        <f>H516*0.25</f>
        <v/>
      </c>
      <c r="J516" s="35">
        <f>J515+I516</f>
        <v/>
      </c>
      <c r="K516" s="15" t="inlineStr">
        <is>
          <t>Valid (Smart Meter)</t>
        </is>
      </c>
      <c r="L516" s="26" t="inlineStr">
        <is>
          <t>Cooking breakfast / Coffee maker</t>
        </is>
      </c>
    </row>
    <row r="517">
      <c r="A517" s="15" t="inlineStr">
        <is>
          <t>2025-11-15 08:45:00</t>
        </is>
      </c>
      <c r="B517" s="15" t="inlineStr">
        <is>
          <t>2025-11-15</t>
        </is>
      </c>
      <c r="C517" s="15" t="inlineStr">
        <is>
          <t>08:45</t>
        </is>
      </c>
      <c r="D517" s="15" t="inlineStr">
        <is>
          <t>Saturday</t>
        </is>
      </c>
      <c r="E517" s="15" t="n">
        <v>515</v>
      </c>
      <c r="F517" s="25" t="n">
        <v>463500</v>
      </c>
      <c r="G517" s="25" t="n">
        <v>128.75</v>
      </c>
      <c r="H517" s="37" t="n">
        <v>4.187</v>
      </c>
      <c r="I517" s="38">
        <f>H517*0.25</f>
        <v/>
      </c>
      <c r="J517" s="35">
        <f>J516+I517</f>
        <v/>
      </c>
      <c r="K517" s="15" t="inlineStr">
        <is>
          <t>Valid (Smart Meter)</t>
        </is>
      </c>
      <c r="L517" s="26" t="inlineStr">
        <is>
          <t>Cooking breakfast / Coffee maker</t>
        </is>
      </c>
    </row>
    <row r="518">
      <c r="A518" s="12" t="inlineStr">
        <is>
          <t>2025-11-15 09:00:00</t>
        </is>
      </c>
      <c r="B518" s="12" t="inlineStr">
        <is>
          <t>2025-11-15</t>
        </is>
      </c>
      <c r="C518" s="12" t="inlineStr">
        <is>
          <t>09:00</t>
        </is>
      </c>
      <c r="D518" s="12" t="inlineStr">
        <is>
          <t>Saturday</t>
        </is>
      </c>
      <c r="E518" s="12" t="n">
        <v>516</v>
      </c>
      <c r="F518" s="27" t="n">
        <v>464400</v>
      </c>
      <c r="G518" s="27" t="n">
        <v>129</v>
      </c>
      <c r="H518" s="39" t="n">
        <v>4.041</v>
      </c>
      <c r="I518" s="40">
        <f>H518*0.25</f>
        <v/>
      </c>
      <c r="J518" s="34">
        <f>J517+I518</f>
        <v/>
      </c>
      <c r="K518" s="12" t="inlineStr">
        <is>
          <t>Valid (Smart Meter)</t>
        </is>
      </c>
      <c r="L518" s="28" t="inlineStr">
        <is>
          <t>Cooking breakfast / Coffee maker</t>
        </is>
      </c>
    </row>
    <row r="519">
      <c r="A519" s="12" t="inlineStr">
        <is>
          <t>2025-11-15 09:15:00</t>
        </is>
      </c>
      <c r="B519" s="12" t="inlineStr">
        <is>
          <t>2025-11-15</t>
        </is>
      </c>
      <c r="C519" s="12" t="inlineStr">
        <is>
          <t>09:15</t>
        </is>
      </c>
      <c r="D519" s="12" t="inlineStr">
        <is>
          <t>Saturday</t>
        </is>
      </c>
      <c r="E519" s="12" t="n">
        <v>517</v>
      </c>
      <c r="F519" s="27" t="n">
        <v>465300</v>
      </c>
      <c r="G519" s="27" t="n">
        <v>129.25</v>
      </c>
      <c r="H519" s="39" t="n">
        <v>3.96</v>
      </c>
      <c r="I519" s="40">
        <f>H519*0.25</f>
        <v/>
      </c>
      <c r="J519" s="34">
        <f>J518+I519</f>
        <v/>
      </c>
      <c r="K519" s="12" t="inlineStr">
        <is>
          <t>Valid (Smart Meter)</t>
        </is>
      </c>
      <c r="L519" s="28" t="inlineStr">
        <is>
          <t>Cooking breakfast / Coffee maker</t>
        </is>
      </c>
    </row>
    <row r="520">
      <c r="A520" s="12" t="inlineStr">
        <is>
          <t>2025-11-15 09:30:00</t>
        </is>
      </c>
      <c r="B520" s="12" t="inlineStr">
        <is>
          <t>2025-11-15</t>
        </is>
      </c>
      <c r="C520" s="12" t="inlineStr">
        <is>
          <t>09:30</t>
        </is>
      </c>
      <c r="D520" s="12" t="inlineStr">
        <is>
          <t>Saturday</t>
        </is>
      </c>
      <c r="E520" s="12" t="n">
        <v>518</v>
      </c>
      <c r="F520" s="27" t="n">
        <v>466200</v>
      </c>
      <c r="G520" s="27" t="n">
        <v>129.5</v>
      </c>
      <c r="H520" s="39" t="n">
        <v>2.025</v>
      </c>
      <c r="I520" s="40">
        <f>H520*0.25</f>
        <v/>
      </c>
      <c r="J520" s="34">
        <f>J519+I520</f>
        <v/>
      </c>
      <c r="K520" s="12" t="inlineStr">
        <is>
          <t>Valid (Smart Meter)</t>
        </is>
      </c>
      <c r="L520" s="28" t="inlineStr">
        <is>
          <t>Weekend breakfast &amp; morning activities</t>
        </is>
      </c>
    </row>
    <row r="521">
      <c r="A521" s="12" t="inlineStr">
        <is>
          <t>2025-11-15 09:45:00</t>
        </is>
      </c>
      <c r="B521" s="12" t="inlineStr">
        <is>
          <t>2025-11-15</t>
        </is>
      </c>
      <c r="C521" s="12" t="inlineStr">
        <is>
          <t>09:45</t>
        </is>
      </c>
      <c r="D521" s="12" t="inlineStr">
        <is>
          <t>Saturday</t>
        </is>
      </c>
      <c r="E521" s="12" t="n">
        <v>519</v>
      </c>
      <c r="F521" s="27" t="n">
        <v>467100</v>
      </c>
      <c r="G521" s="27" t="n">
        <v>129.75</v>
      </c>
      <c r="H521" s="39" t="n">
        <v>2.003</v>
      </c>
      <c r="I521" s="40">
        <f>H521*0.25</f>
        <v/>
      </c>
      <c r="J521" s="34">
        <f>J520+I521</f>
        <v/>
      </c>
      <c r="K521" s="12" t="inlineStr">
        <is>
          <t>Valid (Smart Meter)</t>
        </is>
      </c>
      <c r="L521" s="28" t="inlineStr">
        <is>
          <t>Weekend breakfast &amp; morning activities</t>
        </is>
      </c>
    </row>
    <row r="522">
      <c r="A522" s="15" t="inlineStr">
        <is>
          <t>2025-11-15 10:00:00</t>
        </is>
      </c>
      <c r="B522" s="15" t="inlineStr">
        <is>
          <t>2025-11-15</t>
        </is>
      </c>
      <c r="C522" s="15" t="inlineStr">
        <is>
          <t>10:00</t>
        </is>
      </c>
      <c r="D522" s="15" t="inlineStr">
        <is>
          <t>Saturday</t>
        </is>
      </c>
      <c r="E522" s="15" t="n">
        <v>520</v>
      </c>
      <c r="F522" s="25" t="n">
        <v>468000</v>
      </c>
      <c r="G522" s="25" t="n">
        <v>130</v>
      </c>
      <c r="H522" s="37" t="n">
        <v>2.201</v>
      </c>
      <c r="I522" s="38">
        <f>H522*0.25</f>
        <v/>
      </c>
      <c r="J522" s="35">
        <f>J521+I522</f>
        <v/>
      </c>
      <c r="K522" s="15" t="inlineStr">
        <is>
          <t>Valid (Smart Meter)</t>
        </is>
      </c>
      <c r="L522" s="26" t="inlineStr">
        <is>
          <t>Weekend breakfast &amp; morning activities</t>
        </is>
      </c>
    </row>
    <row r="523">
      <c r="A523" s="15" t="inlineStr">
        <is>
          <t>2025-11-15 10:15:00</t>
        </is>
      </c>
      <c r="B523" s="15" t="inlineStr">
        <is>
          <t>2025-11-15</t>
        </is>
      </c>
      <c r="C523" s="15" t="inlineStr">
        <is>
          <t>10:15</t>
        </is>
      </c>
      <c r="D523" s="15" t="inlineStr">
        <is>
          <t>Saturday</t>
        </is>
      </c>
      <c r="E523" s="15" t="n">
        <v>521</v>
      </c>
      <c r="F523" s="25" t="n">
        <v>468900</v>
      </c>
      <c r="G523" s="25" t="n">
        <v>130.25</v>
      </c>
      <c r="H523" s="37" t="n">
        <v>2.158</v>
      </c>
      <c r="I523" s="38">
        <f>H523*0.25</f>
        <v/>
      </c>
      <c r="J523" s="35">
        <f>J522+I523</f>
        <v/>
      </c>
      <c r="K523" s="15" t="inlineStr">
        <is>
          <t>Valid (Smart Meter)</t>
        </is>
      </c>
      <c r="L523" s="26" t="inlineStr">
        <is>
          <t>Weekend breakfast &amp; morning activities</t>
        </is>
      </c>
    </row>
    <row r="524">
      <c r="A524" s="15" t="inlineStr">
        <is>
          <t>2025-11-15 10:30:00</t>
        </is>
      </c>
      <c r="B524" s="15" t="inlineStr">
        <is>
          <t>2025-11-15</t>
        </is>
      </c>
      <c r="C524" s="15" t="inlineStr">
        <is>
          <t>10:30</t>
        </is>
      </c>
      <c r="D524" s="15" t="inlineStr">
        <is>
          <t>Saturday</t>
        </is>
      </c>
      <c r="E524" s="15" t="n">
        <v>522</v>
      </c>
      <c r="F524" s="25" t="n">
        <v>469800</v>
      </c>
      <c r="G524" s="25" t="n">
        <v>130.5</v>
      </c>
      <c r="H524" s="37" t="n">
        <v>2.158</v>
      </c>
      <c r="I524" s="38">
        <f>H524*0.25</f>
        <v/>
      </c>
      <c r="J524" s="35">
        <f>J523+I524</f>
        <v/>
      </c>
      <c r="K524" s="15" t="inlineStr">
        <is>
          <t>Valid (Smart Meter)</t>
        </is>
      </c>
      <c r="L524" s="26" t="inlineStr">
        <is>
          <t>Weekend breakfast &amp; morning activities</t>
        </is>
      </c>
    </row>
    <row r="525">
      <c r="A525" s="15" t="inlineStr">
        <is>
          <t>2025-11-15 10:45:00</t>
        </is>
      </c>
      <c r="B525" s="15" t="inlineStr">
        <is>
          <t>2025-11-15</t>
        </is>
      </c>
      <c r="C525" s="15" t="inlineStr">
        <is>
          <t>10:45</t>
        </is>
      </c>
      <c r="D525" s="15" t="inlineStr">
        <is>
          <t>Saturday</t>
        </is>
      </c>
      <c r="E525" s="15" t="n">
        <v>523</v>
      </c>
      <c r="F525" s="25" t="n">
        <v>470700</v>
      </c>
      <c r="G525" s="25" t="n">
        <v>130.75</v>
      </c>
      <c r="H525" s="37" t="n">
        <v>1.208</v>
      </c>
      <c r="I525" s="38">
        <f>H525*0.25</f>
        <v/>
      </c>
      <c r="J525" s="35">
        <f>J524+I525</f>
        <v/>
      </c>
      <c r="K525" s="15" t="inlineStr">
        <is>
          <t>Valid (Smart Meter)</t>
        </is>
      </c>
      <c r="L525" s="26" t="inlineStr">
        <is>
          <t>Weekend daytime activity</t>
        </is>
      </c>
    </row>
    <row r="526">
      <c r="A526" s="12" t="inlineStr">
        <is>
          <t>2025-11-15 11:00:00</t>
        </is>
      </c>
      <c r="B526" s="12" t="inlineStr">
        <is>
          <t>2025-11-15</t>
        </is>
      </c>
      <c r="C526" s="12" t="inlineStr">
        <is>
          <t>11:00</t>
        </is>
      </c>
      <c r="D526" s="12" t="inlineStr">
        <is>
          <t>Saturday</t>
        </is>
      </c>
      <c r="E526" s="12" t="n">
        <v>524</v>
      </c>
      <c r="F526" s="27" t="n">
        <v>471600</v>
      </c>
      <c r="G526" s="27" t="n">
        <v>131</v>
      </c>
      <c r="H526" s="39" t="n">
        <v>1.336</v>
      </c>
      <c r="I526" s="40">
        <f>H526*0.25</f>
        <v/>
      </c>
      <c r="J526" s="34">
        <f>J525+I526</f>
        <v/>
      </c>
      <c r="K526" s="12" t="inlineStr">
        <is>
          <t>Valid (Smart Meter)</t>
        </is>
      </c>
      <c r="L526" s="28" t="inlineStr">
        <is>
          <t>Weekend daytime activity</t>
        </is>
      </c>
    </row>
    <row r="527">
      <c r="A527" s="12" t="inlineStr">
        <is>
          <t>2025-11-15 11:15:00</t>
        </is>
      </c>
      <c r="B527" s="12" t="inlineStr">
        <is>
          <t>2025-11-15</t>
        </is>
      </c>
      <c r="C527" s="12" t="inlineStr">
        <is>
          <t>11:15</t>
        </is>
      </c>
      <c r="D527" s="12" t="inlineStr">
        <is>
          <t>Saturday</t>
        </is>
      </c>
      <c r="E527" s="12" t="n">
        <v>525</v>
      </c>
      <c r="F527" s="27" t="n">
        <v>472500</v>
      </c>
      <c r="G527" s="27" t="n">
        <v>131.25</v>
      </c>
      <c r="H527" s="39" t="n">
        <v>1.327</v>
      </c>
      <c r="I527" s="40">
        <f>H527*0.25</f>
        <v/>
      </c>
      <c r="J527" s="34">
        <f>J526+I527</f>
        <v/>
      </c>
      <c r="K527" s="12" t="inlineStr">
        <is>
          <t>Valid (Smart Meter)</t>
        </is>
      </c>
      <c r="L527" s="28" t="inlineStr">
        <is>
          <t>Weekend daytime activity</t>
        </is>
      </c>
    </row>
    <row r="528">
      <c r="A528" s="12" t="inlineStr">
        <is>
          <t>2025-11-15 11:30:00</t>
        </is>
      </c>
      <c r="B528" s="12" t="inlineStr">
        <is>
          <t>2025-11-15</t>
        </is>
      </c>
      <c r="C528" s="12" t="inlineStr">
        <is>
          <t>11:30</t>
        </is>
      </c>
      <c r="D528" s="12" t="inlineStr">
        <is>
          <t>Saturday</t>
        </is>
      </c>
      <c r="E528" s="12" t="n">
        <v>526</v>
      </c>
      <c r="F528" s="27" t="n">
        <v>473400</v>
      </c>
      <c r="G528" s="27" t="n">
        <v>131.5</v>
      </c>
      <c r="H528" s="39" t="n">
        <v>1.297</v>
      </c>
      <c r="I528" s="40">
        <f>H528*0.25</f>
        <v/>
      </c>
      <c r="J528" s="34">
        <f>J527+I528</f>
        <v/>
      </c>
      <c r="K528" s="12" t="inlineStr">
        <is>
          <t>Valid (Smart Meter)</t>
        </is>
      </c>
      <c r="L528" s="28" t="inlineStr">
        <is>
          <t>Weekend daytime activity</t>
        </is>
      </c>
    </row>
    <row r="529">
      <c r="A529" s="12" t="inlineStr">
        <is>
          <t>2025-11-15 11:45:00</t>
        </is>
      </c>
      <c r="B529" s="12" t="inlineStr">
        <is>
          <t>2025-11-15</t>
        </is>
      </c>
      <c r="C529" s="12" t="inlineStr">
        <is>
          <t>11:45</t>
        </is>
      </c>
      <c r="D529" s="12" t="inlineStr">
        <is>
          <t>Saturday</t>
        </is>
      </c>
      <c r="E529" s="12" t="n">
        <v>527</v>
      </c>
      <c r="F529" s="27" t="n">
        <v>474300</v>
      </c>
      <c r="G529" s="27" t="n">
        <v>131.75</v>
      </c>
      <c r="H529" s="39" t="n">
        <v>1.138</v>
      </c>
      <c r="I529" s="40">
        <f>H529*0.25</f>
        <v/>
      </c>
      <c r="J529" s="34">
        <f>J528+I529</f>
        <v/>
      </c>
      <c r="K529" s="12" t="inlineStr">
        <is>
          <t>Valid (Smart Meter)</t>
        </is>
      </c>
      <c r="L529" s="28" t="inlineStr">
        <is>
          <t>Weekend daytime activity</t>
        </is>
      </c>
    </row>
    <row r="530">
      <c r="A530" s="15" t="inlineStr">
        <is>
          <t>2025-11-15 12:00:00</t>
        </is>
      </c>
      <c r="B530" s="15" t="inlineStr">
        <is>
          <t>2025-11-15</t>
        </is>
      </c>
      <c r="C530" s="15" t="inlineStr">
        <is>
          <t>12:00</t>
        </is>
      </c>
      <c r="D530" s="15" t="inlineStr">
        <is>
          <t>Saturday</t>
        </is>
      </c>
      <c r="E530" s="15" t="n">
        <v>528</v>
      </c>
      <c r="F530" s="25" t="n">
        <v>475200</v>
      </c>
      <c r="G530" s="25" t="n">
        <v>132</v>
      </c>
      <c r="H530" s="37" t="n">
        <v>1.161</v>
      </c>
      <c r="I530" s="38">
        <f>H530*0.25</f>
        <v/>
      </c>
      <c r="J530" s="35">
        <f>J529+I530</f>
        <v/>
      </c>
      <c r="K530" s="15" t="inlineStr">
        <is>
          <t>Valid (Smart Meter)</t>
        </is>
      </c>
      <c r="L530" s="26" t="inlineStr">
        <is>
          <t>Weekend daytime activity</t>
        </is>
      </c>
    </row>
    <row r="531">
      <c r="A531" s="15" t="inlineStr">
        <is>
          <t>2025-11-15 12:15:00</t>
        </is>
      </c>
      <c r="B531" s="15" t="inlineStr">
        <is>
          <t>2025-11-15</t>
        </is>
      </c>
      <c r="C531" s="15" t="inlineStr">
        <is>
          <t>12:15</t>
        </is>
      </c>
      <c r="D531" s="15" t="inlineStr">
        <is>
          <t>Saturday</t>
        </is>
      </c>
      <c r="E531" s="15" t="n">
        <v>529</v>
      </c>
      <c r="F531" s="25" t="n">
        <v>476100</v>
      </c>
      <c r="G531" s="25" t="n">
        <v>132.25</v>
      </c>
      <c r="H531" s="37" t="n">
        <v>1.052</v>
      </c>
      <c r="I531" s="38">
        <f>H531*0.25</f>
        <v/>
      </c>
      <c r="J531" s="35">
        <f>J530+I531</f>
        <v/>
      </c>
      <c r="K531" s="15" t="inlineStr">
        <is>
          <t>Valid (Smart Meter)</t>
        </is>
      </c>
      <c r="L531" s="26" t="inlineStr">
        <is>
          <t>Weekend daytime activity</t>
        </is>
      </c>
    </row>
    <row r="532">
      <c r="A532" s="15" t="inlineStr">
        <is>
          <t>2025-11-15 12:30:00</t>
        </is>
      </c>
      <c r="B532" s="15" t="inlineStr">
        <is>
          <t>2025-11-15</t>
        </is>
      </c>
      <c r="C532" s="15" t="inlineStr">
        <is>
          <t>12:30</t>
        </is>
      </c>
      <c r="D532" s="15" t="inlineStr">
        <is>
          <t>Saturday</t>
        </is>
      </c>
      <c r="E532" s="15" t="n">
        <v>530</v>
      </c>
      <c r="F532" s="25" t="n">
        <v>477000</v>
      </c>
      <c r="G532" s="25" t="n">
        <v>132.5</v>
      </c>
      <c r="H532" s="37" t="n">
        <v>1.104</v>
      </c>
      <c r="I532" s="38">
        <f>H532*0.25</f>
        <v/>
      </c>
      <c r="J532" s="35">
        <f>J531+I532</f>
        <v/>
      </c>
      <c r="K532" s="15" t="inlineStr">
        <is>
          <t>Valid (Smart Meter)</t>
        </is>
      </c>
      <c r="L532" s="26" t="inlineStr">
        <is>
          <t>Weekend daytime activity</t>
        </is>
      </c>
    </row>
    <row r="533">
      <c r="A533" s="15" t="inlineStr">
        <is>
          <t>2025-11-15 12:45:00</t>
        </is>
      </c>
      <c r="B533" s="15" t="inlineStr">
        <is>
          <t>2025-11-15</t>
        </is>
      </c>
      <c r="C533" s="15" t="inlineStr">
        <is>
          <t>12:45</t>
        </is>
      </c>
      <c r="D533" s="15" t="inlineStr">
        <is>
          <t>Saturday</t>
        </is>
      </c>
      <c r="E533" s="15" t="n">
        <v>531</v>
      </c>
      <c r="F533" s="25" t="n">
        <v>477900</v>
      </c>
      <c r="G533" s="25" t="n">
        <v>132.75</v>
      </c>
      <c r="H533" s="37" t="n">
        <v>1.185</v>
      </c>
      <c r="I533" s="38">
        <f>H533*0.25</f>
        <v/>
      </c>
      <c r="J533" s="35">
        <f>J532+I533</f>
        <v/>
      </c>
      <c r="K533" s="15" t="inlineStr">
        <is>
          <t>Valid (Smart Meter)</t>
        </is>
      </c>
      <c r="L533" s="26" t="inlineStr">
        <is>
          <t>Weekend daytime activity</t>
        </is>
      </c>
    </row>
    <row r="534">
      <c r="A534" s="12" t="inlineStr">
        <is>
          <t>2025-11-15 13:00:00</t>
        </is>
      </c>
      <c r="B534" s="12" t="inlineStr">
        <is>
          <t>2025-11-15</t>
        </is>
      </c>
      <c r="C534" s="12" t="inlineStr">
        <is>
          <t>13:00</t>
        </is>
      </c>
      <c r="D534" s="12" t="inlineStr">
        <is>
          <t>Saturday</t>
        </is>
      </c>
      <c r="E534" s="12" t="n">
        <v>532</v>
      </c>
      <c r="F534" s="27" t="n">
        <v>478800</v>
      </c>
      <c r="G534" s="27" t="n">
        <v>133</v>
      </c>
      <c r="H534" s="39" t="n">
        <v>3.25</v>
      </c>
      <c r="I534" s="40">
        <f>H534*0.25</f>
        <v/>
      </c>
      <c r="J534" s="34">
        <f>J533+I534</f>
        <v/>
      </c>
      <c r="K534" s="12" t="inlineStr">
        <is>
          <t>Valid (Smart Meter)</t>
        </is>
      </c>
      <c r="L534" s="28" t="inlineStr">
        <is>
          <t>Washing machine &amp; Dryer run</t>
        </is>
      </c>
    </row>
    <row r="535">
      <c r="A535" s="12" t="inlineStr">
        <is>
          <t>2025-11-15 13:15:00</t>
        </is>
      </c>
      <c r="B535" s="12" t="inlineStr">
        <is>
          <t>2025-11-15</t>
        </is>
      </c>
      <c r="C535" s="12" t="inlineStr">
        <is>
          <t>13:15</t>
        </is>
      </c>
      <c r="D535" s="12" t="inlineStr">
        <is>
          <t>Saturday</t>
        </is>
      </c>
      <c r="E535" s="12" t="n">
        <v>533</v>
      </c>
      <c r="F535" s="27" t="n">
        <v>479700</v>
      </c>
      <c r="G535" s="27" t="n">
        <v>133.25</v>
      </c>
      <c r="H535" s="39" t="n">
        <v>3.437</v>
      </c>
      <c r="I535" s="40">
        <f>H535*0.25</f>
        <v/>
      </c>
      <c r="J535" s="34">
        <f>J534+I535</f>
        <v/>
      </c>
      <c r="K535" s="12" t="inlineStr">
        <is>
          <t>Valid (Smart Meter)</t>
        </is>
      </c>
      <c r="L535" s="28" t="inlineStr">
        <is>
          <t>Washing machine &amp; Dryer run</t>
        </is>
      </c>
    </row>
    <row r="536">
      <c r="A536" s="12" t="inlineStr">
        <is>
          <t>2025-11-15 13:30:00</t>
        </is>
      </c>
      <c r="B536" s="12" t="inlineStr">
        <is>
          <t>2025-11-15</t>
        </is>
      </c>
      <c r="C536" s="12" t="inlineStr">
        <is>
          <t>13:30</t>
        </is>
      </c>
      <c r="D536" s="12" t="inlineStr">
        <is>
          <t>Saturday</t>
        </is>
      </c>
      <c r="E536" s="12" t="n">
        <v>534</v>
      </c>
      <c r="F536" s="27" t="n">
        <v>480600</v>
      </c>
      <c r="G536" s="27" t="n">
        <v>133.5</v>
      </c>
      <c r="H536" s="39" t="n">
        <v>3.298</v>
      </c>
      <c r="I536" s="40">
        <f>H536*0.25</f>
        <v/>
      </c>
      <c r="J536" s="34">
        <f>J535+I536</f>
        <v/>
      </c>
      <c r="K536" s="12" t="inlineStr">
        <is>
          <t>Valid (Smart Meter)</t>
        </is>
      </c>
      <c r="L536" s="28" t="inlineStr">
        <is>
          <t>Washing machine &amp; Dryer run</t>
        </is>
      </c>
    </row>
    <row r="537">
      <c r="A537" s="12" t="inlineStr">
        <is>
          <t>2025-11-15 13:45:00</t>
        </is>
      </c>
      <c r="B537" s="12" t="inlineStr">
        <is>
          <t>2025-11-15</t>
        </is>
      </c>
      <c r="C537" s="12" t="inlineStr">
        <is>
          <t>13:45</t>
        </is>
      </c>
      <c r="D537" s="12" t="inlineStr">
        <is>
          <t>Saturday</t>
        </is>
      </c>
      <c r="E537" s="12" t="n">
        <v>535</v>
      </c>
      <c r="F537" s="27" t="n">
        <v>481500</v>
      </c>
      <c r="G537" s="27" t="n">
        <v>133.75</v>
      </c>
      <c r="H537" s="39" t="n">
        <v>3.278</v>
      </c>
      <c r="I537" s="40">
        <f>H537*0.25</f>
        <v/>
      </c>
      <c r="J537" s="34">
        <f>J536+I537</f>
        <v/>
      </c>
      <c r="K537" s="12" t="inlineStr">
        <is>
          <t>Valid (Smart Meter)</t>
        </is>
      </c>
      <c r="L537" s="28" t="inlineStr">
        <is>
          <t>Washing machine &amp; Dryer run</t>
        </is>
      </c>
    </row>
    <row r="538">
      <c r="A538" s="15" t="inlineStr">
        <is>
          <t>2025-11-15 14:00:00</t>
        </is>
      </c>
      <c r="B538" s="15" t="inlineStr">
        <is>
          <t>2025-11-15</t>
        </is>
      </c>
      <c r="C538" s="15" t="inlineStr">
        <is>
          <t>14:00</t>
        </is>
      </c>
      <c r="D538" s="15" t="inlineStr">
        <is>
          <t>Saturday</t>
        </is>
      </c>
      <c r="E538" s="15" t="n">
        <v>536</v>
      </c>
      <c r="F538" s="25" t="n">
        <v>482400</v>
      </c>
      <c r="G538" s="25" t="n">
        <v>134</v>
      </c>
      <c r="H538" s="37" t="n">
        <v>3.558</v>
      </c>
      <c r="I538" s="38">
        <f>H538*0.25</f>
        <v/>
      </c>
      <c r="J538" s="35">
        <f>J537+I538</f>
        <v/>
      </c>
      <c r="K538" s="15" t="inlineStr">
        <is>
          <t>Valid (Smart Meter)</t>
        </is>
      </c>
      <c r="L538" s="26" t="inlineStr">
        <is>
          <t>Washing machine &amp; Dryer run</t>
        </is>
      </c>
    </row>
    <row r="539">
      <c r="A539" s="15" t="inlineStr">
        <is>
          <t>2025-11-15 14:15:00</t>
        </is>
      </c>
      <c r="B539" s="15" t="inlineStr">
        <is>
          <t>2025-11-15</t>
        </is>
      </c>
      <c r="C539" s="15" t="inlineStr">
        <is>
          <t>14:15</t>
        </is>
      </c>
      <c r="D539" s="15" t="inlineStr">
        <is>
          <t>Saturday</t>
        </is>
      </c>
      <c r="E539" s="15" t="n">
        <v>537</v>
      </c>
      <c r="F539" s="25" t="n">
        <v>483300</v>
      </c>
      <c r="G539" s="25" t="n">
        <v>134.25</v>
      </c>
      <c r="H539" s="37" t="n">
        <v>3.399</v>
      </c>
      <c r="I539" s="38">
        <f>H539*0.25</f>
        <v/>
      </c>
      <c r="J539" s="35">
        <f>J538+I539</f>
        <v/>
      </c>
      <c r="K539" s="15" t="inlineStr">
        <is>
          <t>Valid (Smart Meter)</t>
        </is>
      </c>
      <c r="L539" s="26" t="inlineStr">
        <is>
          <t>Washing machine &amp; Dryer run</t>
        </is>
      </c>
    </row>
    <row r="540">
      <c r="A540" s="15" t="inlineStr">
        <is>
          <t>2025-11-15 14:30:00</t>
        </is>
      </c>
      <c r="B540" s="15" t="inlineStr">
        <is>
          <t>2025-11-15</t>
        </is>
      </c>
      <c r="C540" s="15" t="inlineStr">
        <is>
          <t>14:30</t>
        </is>
      </c>
      <c r="D540" s="15" t="inlineStr">
        <is>
          <t>Saturday</t>
        </is>
      </c>
      <c r="E540" s="15" t="n">
        <v>538</v>
      </c>
      <c r="F540" s="25" t="n">
        <v>484200</v>
      </c>
      <c r="G540" s="25" t="n">
        <v>134.5</v>
      </c>
      <c r="H540" s="37" t="n">
        <v>3.61</v>
      </c>
      <c r="I540" s="38">
        <f>H540*0.25</f>
        <v/>
      </c>
      <c r="J540" s="35">
        <f>J539+I540</f>
        <v/>
      </c>
      <c r="K540" s="15" t="inlineStr">
        <is>
          <t>Valid (Smart Meter)</t>
        </is>
      </c>
      <c r="L540" s="26" t="inlineStr">
        <is>
          <t>Washing machine &amp; Dryer run</t>
        </is>
      </c>
    </row>
    <row r="541">
      <c r="A541" s="15" t="inlineStr">
        <is>
          <t>2025-11-15 14:45:00</t>
        </is>
      </c>
      <c r="B541" s="15" t="inlineStr">
        <is>
          <t>2025-11-15</t>
        </is>
      </c>
      <c r="C541" s="15" t="inlineStr">
        <is>
          <t>14:45</t>
        </is>
      </c>
      <c r="D541" s="15" t="inlineStr">
        <is>
          <t>Saturday</t>
        </is>
      </c>
      <c r="E541" s="15" t="n">
        <v>539</v>
      </c>
      <c r="F541" s="25" t="n">
        <v>485100</v>
      </c>
      <c r="G541" s="25" t="n">
        <v>134.75</v>
      </c>
      <c r="H541" s="37" t="n">
        <v>1.091</v>
      </c>
      <c r="I541" s="38">
        <f>H541*0.25</f>
        <v/>
      </c>
      <c r="J541" s="35">
        <f>J540+I541</f>
        <v/>
      </c>
      <c r="K541" s="15" t="inlineStr">
        <is>
          <t>Valid (Smart Meter)</t>
        </is>
      </c>
      <c r="L541" s="26" t="inlineStr">
        <is>
          <t>Weekend daytime activity</t>
        </is>
      </c>
    </row>
    <row r="542">
      <c r="A542" s="12" t="inlineStr">
        <is>
          <t>2025-11-15 15:00:00</t>
        </is>
      </c>
      <c r="B542" s="12" t="inlineStr">
        <is>
          <t>2025-11-15</t>
        </is>
      </c>
      <c r="C542" s="12" t="inlineStr">
        <is>
          <t>15:00</t>
        </is>
      </c>
      <c r="D542" s="12" t="inlineStr">
        <is>
          <t>Saturday</t>
        </is>
      </c>
      <c r="E542" s="12" t="n">
        <v>540</v>
      </c>
      <c r="F542" s="27" t="n">
        <v>486000</v>
      </c>
      <c r="G542" s="27" t="n">
        <v>135</v>
      </c>
      <c r="H542" s="39" t="n">
        <v>1.132</v>
      </c>
      <c r="I542" s="40">
        <f>H542*0.25</f>
        <v/>
      </c>
      <c r="J542" s="34">
        <f>J541+I542</f>
        <v/>
      </c>
      <c r="K542" s="12" t="inlineStr">
        <is>
          <t>Valid (Smart Meter)</t>
        </is>
      </c>
      <c r="L542" s="28" t="inlineStr">
        <is>
          <t>Weekend daytime activity</t>
        </is>
      </c>
    </row>
    <row r="543">
      <c r="A543" s="12" t="inlineStr">
        <is>
          <t>2025-11-15 15:15:00</t>
        </is>
      </c>
      <c r="B543" s="12" t="inlineStr">
        <is>
          <t>2025-11-15</t>
        </is>
      </c>
      <c r="C543" s="12" t="inlineStr">
        <is>
          <t>15:15</t>
        </is>
      </c>
      <c r="D543" s="12" t="inlineStr">
        <is>
          <t>Saturday</t>
        </is>
      </c>
      <c r="E543" s="12" t="n">
        <v>541</v>
      </c>
      <c r="F543" s="27" t="n">
        <v>486900</v>
      </c>
      <c r="G543" s="27" t="n">
        <v>135.25</v>
      </c>
      <c r="H543" s="39" t="n">
        <v>1.17</v>
      </c>
      <c r="I543" s="40">
        <f>H543*0.25</f>
        <v/>
      </c>
      <c r="J543" s="34">
        <f>J542+I543</f>
        <v/>
      </c>
      <c r="K543" s="12" t="inlineStr">
        <is>
          <t>Valid (Smart Meter)</t>
        </is>
      </c>
      <c r="L543" s="28" t="inlineStr">
        <is>
          <t>Weekend daytime activity</t>
        </is>
      </c>
    </row>
    <row r="544">
      <c r="A544" s="12" t="inlineStr">
        <is>
          <t>2025-11-15 15:30:00</t>
        </is>
      </c>
      <c r="B544" s="12" t="inlineStr">
        <is>
          <t>2025-11-15</t>
        </is>
      </c>
      <c r="C544" s="12" t="inlineStr">
        <is>
          <t>15:30</t>
        </is>
      </c>
      <c r="D544" s="12" t="inlineStr">
        <is>
          <t>Saturday</t>
        </is>
      </c>
      <c r="E544" s="12" t="n">
        <v>542</v>
      </c>
      <c r="F544" s="27" t="n">
        <v>487800</v>
      </c>
      <c r="G544" s="27" t="n">
        <v>135.5</v>
      </c>
      <c r="H544" s="39" t="n">
        <v>1.127</v>
      </c>
      <c r="I544" s="40">
        <f>H544*0.25</f>
        <v/>
      </c>
      <c r="J544" s="34">
        <f>J543+I544</f>
        <v/>
      </c>
      <c r="K544" s="12" t="inlineStr">
        <is>
          <t>Valid (Smart Meter)</t>
        </is>
      </c>
      <c r="L544" s="28" t="inlineStr">
        <is>
          <t>Weekend daytime activity</t>
        </is>
      </c>
    </row>
    <row r="545">
      <c r="A545" s="12" t="inlineStr">
        <is>
          <t>2025-11-15 15:45:00</t>
        </is>
      </c>
      <c r="B545" s="12" t="inlineStr">
        <is>
          <t>2025-11-15</t>
        </is>
      </c>
      <c r="C545" s="12" t="inlineStr">
        <is>
          <t>15:45</t>
        </is>
      </c>
      <c r="D545" s="12" t="inlineStr">
        <is>
          <t>Saturday</t>
        </is>
      </c>
      <c r="E545" s="12" t="n">
        <v>543</v>
      </c>
      <c r="F545" s="27" t="n">
        <v>488700</v>
      </c>
      <c r="G545" s="27" t="n">
        <v>135.75</v>
      </c>
      <c r="H545" s="39" t="n">
        <v>1.08</v>
      </c>
      <c r="I545" s="40">
        <f>H545*0.25</f>
        <v/>
      </c>
      <c r="J545" s="34">
        <f>J544+I545</f>
        <v/>
      </c>
      <c r="K545" s="12" t="inlineStr">
        <is>
          <t>Valid (Smart Meter)</t>
        </is>
      </c>
      <c r="L545" s="28" t="inlineStr">
        <is>
          <t>Weekend daytime activity</t>
        </is>
      </c>
    </row>
    <row r="546">
      <c r="A546" s="15" t="inlineStr">
        <is>
          <t>2025-11-15 16:00:00</t>
        </is>
      </c>
      <c r="B546" s="15" t="inlineStr">
        <is>
          <t>2025-11-15</t>
        </is>
      </c>
      <c r="C546" s="15" t="inlineStr">
        <is>
          <t>16:00</t>
        </is>
      </c>
      <c r="D546" s="15" t="inlineStr">
        <is>
          <t>Saturday</t>
        </is>
      </c>
      <c r="E546" s="15" t="n">
        <v>544</v>
      </c>
      <c r="F546" s="25" t="n">
        <v>489600</v>
      </c>
      <c r="G546" s="25" t="n">
        <v>136</v>
      </c>
      <c r="H546" s="37" t="n">
        <v>1.193</v>
      </c>
      <c r="I546" s="38">
        <f>H546*0.25</f>
        <v/>
      </c>
      <c r="J546" s="35">
        <f>J545+I546</f>
        <v/>
      </c>
      <c r="K546" s="15" t="inlineStr">
        <is>
          <t>Valid (Smart Meter)</t>
        </is>
      </c>
      <c r="L546" s="26" t="inlineStr">
        <is>
          <t>Weekend daytime activity</t>
        </is>
      </c>
    </row>
    <row r="547">
      <c r="A547" s="15" t="inlineStr">
        <is>
          <t>2025-11-15 16:15:00</t>
        </is>
      </c>
      <c r="B547" s="15" t="inlineStr">
        <is>
          <t>2025-11-15</t>
        </is>
      </c>
      <c r="C547" s="15" t="inlineStr">
        <is>
          <t>16:15</t>
        </is>
      </c>
      <c r="D547" s="15" t="inlineStr">
        <is>
          <t>Saturday</t>
        </is>
      </c>
      <c r="E547" s="15" t="n">
        <v>545</v>
      </c>
      <c r="F547" s="25" t="n">
        <v>490500</v>
      </c>
      <c r="G547" s="25" t="n">
        <v>136.25</v>
      </c>
      <c r="H547" s="37" t="n">
        <v>1.196</v>
      </c>
      <c r="I547" s="38">
        <f>H547*0.25</f>
        <v/>
      </c>
      <c r="J547" s="35">
        <f>J546+I547</f>
        <v/>
      </c>
      <c r="K547" s="15" t="inlineStr">
        <is>
          <t>Valid (Smart Meter)</t>
        </is>
      </c>
      <c r="L547" s="26" t="inlineStr">
        <is>
          <t>Weekend daytime activity</t>
        </is>
      </c>
    </row>
    <row r="548">
      <c r="A548" s="15" t="inlineStr">
        <is>
          <t>2025-11-15 16:30:00</t>
        </is>
      </c>
      <c r="B548" s="15" t="inlineStr">
        <is>
          <t>2025-11-15</t>
        </is>
      </c>
      <c r="C548" s="15" t="inlineStr">
        <is>
          <t>16:30</t>
        </is>
      </c>
      <c r="D548" s="15" t="inlineStr">
        <is>
          <t>Saturday</t>
        </is>
      </c>
      <c r="E548" s="15" t="n">
        <v>546</v>
      </c>
      <c r="F548" s="25" t="n">
        <v>491400</v>
      </c>
      <c r="G548" s="25" t="n">
        <v>136.5</v>
      </c>
      <c r="H548" s="37" t="n">
        <v>1.105</v>
      </c>
      <c r="I548" s="38">
        <f>H548*0.25</f>
        <v/>
      </c>
      <c r="J548" s="35">
        <f>J547+I548</f>
        <v/>
      </c>
      <c r="K548" s="15" t="inlineStr">
        <is>
          <t>Valid (Smart Meter)</t>
        </is>
      </c>
      <c r="L548" s="26" t="inlineStr">
        <is>
          <t>Weekend daytime activity</t>
        </is>
      </c>
    </row>
    <row r="549">
      <c r="A549" s="15" t="inlineStr">
        <is>
          <t>2025-11-15 16:45:00</t>
        </is>
      </c>
      <c r="B549" s="15" t="inlineStr">
        <is>
          <t>2025-11-15</t>
        </is>
      </c>
      <c r="C549" s="15" t="inlineStr">
        <is>
          <t>16:45</t>
        </is>
      </c>
      <c r="D549" s="15" t="inlineStr">
        <is>
          <t>Saturday</t>
        </is>
      </c>
      <c r="E549" s="15" t="n">
        <v>547</v>
      </c>
      <c r="F549" s="25" t="n">
        <v>492300</v>
      </c>
      <c r="G549" s="25" t="n">
        <v>136.75</v>
      </c>
      <c r="H549" s="37" t="n">
        <v>1.222</v>
      </c>
      <c r="I549" s="38">
        <f>H549*0.25</f>
        <v/>
      </c>
      <c r="J549" s="35">
        <f>J548+I549</f>
        <v/>
      </c>
      <c r="K549" s="15" t="inlineStr">
        <is>
          <t>Valid (Smart Meter)</t>
        </is>
      </c>
      <c r="L549" s="26" t="inlineStr">
        <is>
          <t>Weekend daytime activity</t>
        </is>
      </c>
    </row>
    <row r="550">
      <c r="A550" s="12" t="inlineStr">
        <is>
          <t>2025-11-15 17:00:00</t>
        </is>
      </c>
      <c r="B550" s="12" t="inlineStr">
        <is>
          <t>2025-11-15</t>
        </is>
      </c>
      <c r="C550" s="12" t="inlineStr">
        <is>
          <t>17:00</t>
        </is>
      </c>
      <c r="D550" s="12" t="inlineStr">
        <is>
          <t>Saturday</t>
        </is>
      </c>
      <c r="E550" s="12" t="n">
        <v>548</v>
      </c>
      <c r="F550" s="27" t="n">
        <v>493200</v>
      </c>
      <c r="G550" s="27" t="n">
        <v>137</v>
      </c>
      <c r="H550" s="39" t="n">
        <v>2.233</v>
      </c>
      <c r="I550" s="40">
        <f>H550*0.25</f>
        <v/>
      </c>
      <c r="J550" s="34">
        <f>J549+I550</f>
        <v/>
      </c>
      <c r="K550" s="12" t="inlineStr">
        <is>
          <t>Valid (Smart Meter)</t>
        </is>
      </c>
      <c r="L550" s="28" t="inlineStr">
        <is>
          <t>Weekend evening relaxation / Lighting</t>
        </is>
      </c>
    </row>
    <row r="551">
      <c r="A551" s="12" t="inlineStr">
        <is>
          <t>2025-11-15 17:15:00</t>
        </is>
      </c>
      <c r="B551" s="12" t="inlineStr">
        <is>
          <t>2025-11-15</t>
        </is>
      </c>
      <c r="C551" s="12" t="inlineStr">
        <is>
          <t>17:15</t>
        </is>
      </c>
      <c r="D551" s="12" t="inlineStr">
        <is>
          <t>Saturday</t>
        </is>
      </c>
      <c r="E551" s="12" t="n">
        <v>549</v>
      </c>
      <c r="F551" s="27" t="n">
        <v>494100</v>
      </c>
      <c r="G551" s="27" t="n">
        <v>137.25</v>
      </c>
      <c r="H551" s="39" t="n">
        <v>1.962</v>
      </c>
      <c r="I551" s="40">
        <f>H551*0.25</f>
        <v/>
      </c>
      <c r="J551" s="34">
        <f>J550+I551</f>
        <v/>
      </c>
      <c r="K551" s="12" t="inlineStr">
        <is>
          <t>Valid (Smart Meter)</t>
        </is>
      </c>
      <c r="L551" s="28" t="inlineStr">
        <is>
          <t>Weekend evening relaxation / Lighting</t>
        </is>
      </c>
    </row>
    <row r="552">
      <c r="A552" s="12" t="inlineStr">
        <is>
          <t>2025-11-15 17:30:00</t>
        </is>
      </c>
      <c r="B552" s="12" t="inlineStr">
        <is>
          <t>2025-11-15</t>
        </is>
      </c>
      <c r="C552" s="12" t="inlineStr">
        <is>
          <t>17:30</t>
        </is>
      </c>
      <c r="D552" s="12" t="inlineStr">
        <is>
          <t>Saturday</t>
        </is>
      </c>
      <c r="E552" s="12" t="n">
        <v>550</v>
      </c>
      <c r="F552" s="27" t="n">
        <v>495000</v>
      </c>
      <c r="G552" s="27" t="n">
        <v>137.5</v>
      </c>
      <c r="H552" s="39" t="n">
        <v>2.093</v>
      </c>
      <c r="I552" s="40">
        <f>H552*0.25</f>
        <v/>
      </c>
      <c r="J552" s="34">
        <f>J551+I552</f>
        <v/>
      </c>
      <c r="K552" s="12" t="inlineStr">
        <is>
          <t>Valid (Smart Meter)</t>
        </is>
      </c>
      <c r="L552" s="28" t="inlineStr">
        <is>
          <t>Weekend evening relaxation / Lighting</t>
        </is>
      </c>
    </row>
    <row r="553">
      <c r="A553" s="12" t="inlineStr">
        <is>
          <t>2025-11-15 17:45:00</t>
        </is>
      </c>
      <c r="B553" s="12" t="inlineStr">
        <is>
          <t>2025-11-15</t>
        </is>
      </c>
      <c r="C553" s="12" t="inlineStr">
        <is>
          <t>17:45</t>
        </is>
      </c>
      <c r="D553" s="12" t="inlineStr">
        <is>
          <t>Saturday</t>
        </is>
      </c>
      <c r="E553" s="12" t="n">
        <v>551</v>
      </c>
      <c r="F553" s="27" t="n">
        <v>495900</v>
      </c>
      <c r="G553" s="27" t="n">
        <v>137.75</v>
      </c>
      <c r="H553" s="39" t="n">
        <v>1.911</v>
      </c>
      <c r="I553" s="40">
        <f>H553*0.25</f>
        <v/>
      </c>
      <c r="J553" s="34">
        <f>J552+I553</f>
        <v/>
      </c>
      <c r="K553" s="12" t="inlineStr">
        <is>
          <t>Valid (Smart Meter)</t>
        </is>
      </c>
      <c r="L553" s="28" t="inlineStr">
        <is>
          <t>Weekend evening relaxation / Lighting</t>
        </is>
      </c>
    </row>
    <row r="554">
      <c r="A554" s="15" t="inlineStr">
        <is>
          <t>2025-11-15 18:00:00</t>
        </is>
      </c>
      <c r="B554" s="15" t="inlineStr">
        <is>
          <t>2025-11-15</t>
        </is>
      </c>
      <c r="C554" s="15" t="inlineStr">
        <is>
          <t>18:00</t>
        </is>
      </c>
      <c r="D554" s="15" t="inlineStr">
        <is>
          <t>Saturday</t>
        </is>
      </c>
      <c r="E554" s="15" t="n">
        <v>552</v>
      </c>
      <c r="F554" s="25" t="n">
        <v>496800</v>
      </c>
      <c r="G554" s="25" t="n">
        <v>138</v>
      </c>
      <c r="H554" s="37" t="n">
        <v>1.994</v>
      </c>
      <c r="I554" s="38">
        <f>H554*0.25</f>
        <v/>
      </c>
      <c r="J554" s="35">
        <f>J553+I554</f>
        <v/>
      </c>
      <c r="K554" s="15" t="inlineStr">
        <is>
          <t>Valid (Smart Meter)</t>
        </is>
      </c>
      <c r="L554" s="26" t="inlineStr">
        <is>
          <t>Weekend evening relaxation / Lighting</t>
        </is>
      </c>
    </row>
    <row r="555">
      <c r="A555" s="15" t="inlineStr">
        <is>
          <t>2025-11-15 18:15:00</t>
        </is>
      </c>
      <c r="B555" s="15" t="inlineStr">
        <is>
          <t>2025-11-15</t>
        </is>
      </c>
      <c r="C555" s="15" t="inlineStr">
        <is>
          <t>18:15</t>
        </is>
      </c>
      <c r="D555" s="15" t="inlineStr">
        <is>
          <t>Saturday</t>
        </is>
      </c>
      <c r="E555" s="15" t="n">
        <v>553</v>
      </c>
      <c r="F555" s="25" t="n">
        <v>497700</v>
      </c>
      <c r="G555" s="25" t="n">
        <v>138.25</v>
      </c>
      <c r="H555" s="37" t="n">
        <v>2.287</v>
      </c>
      <c r="I555" s="38">
        <f>H555*0.25</f>
        <v/>
      </c>
      <c r="J555" s="35">
        <f>J554+I555</f>
        <v/>
      </c>
      <c r="K555" s="15" t="inlineStr">
        <is>
          <t>Valid (Smart Meter)</t>
        </is>
      </c>
      <c r="L555" s="26" t="inlineStr">
        <is>
          <t>Weekend evening relaxation / Lighting</t>
        </is>
      </c>
    </row>
    <row r="556">
      <c r="A556" s="15" t="inlineStr">
        <is>
          <t>2025-11-15 18:30:00</t>
        </is>
      </c>
      <c r="B556" s="15" t="inlineStr">
        <is>
          <t>2025-11-15</t>
        </is>
      </c>
      <c r="C556" s="15" t="inlineStr">
        <is>
          <t>18:30</t>
        </is>
      </c>
      <c r="D556" s="15" t="inlineStr">
        <is>
          <t>Saturday</t>
        </is>
      </c>
      <c r="E556" s="15" t="n">
        <v>554</v>
      </c>
      <c r="F556" s="25" t="n">
        <v>498600</v>
      </c>
      <c r="G556" s="25" t="n">
        <v>138.5</v>
      </c>
      <c r="H556" s="37" t="n">
        <v>4.131</v>
      </c>
      <c r="I556" s="38">
        <f>H556*0.25</f>
        <v/>
      </c>
      <c r="J556" s="35">
        <f>J555+I556</f>
        <v/>
      </c>
      <c r="K556" s="15" t="inlineStr">
        <is>
          <t>Valid (Smart Meter)</t>
        </is>
      </c>
      <c r="L556" s="26" t="inlineStr">
        <is>
          <t>Dinner &amp; Entertainment system</t>
        </is>
      </c>
    </row>
    <row r="557">
      <c r="A557" s="15" t="inlineStr">
        <is>
          <t>2025-11-15 18:45:00</t>
        </is>
      </c>
      <c r="B557" s="15" t="inlineStr">
        <is>
          <t>2025-11-15</t>
        </is>
      </c>
      <c r="C557" s="15" t="inlineStr">
        <is>
          <t>18:45</t>
        </is>
      </c>
      <c r="D557" s="15" t="inlineStr">
        <is>
          <t>Saturday</t>
        </is>
      </c>
      <c r="E557" s="15" t="n">
        <v>555</v>
      </c>
      <c r="F557" s="25" t="n">
        <v>499500</v>
      </c>
      <c r="G557" s="25" t="n">
        <v>138.75</v>
      </c>
      <c r="H557" s="37" t="n">
        <v>4.121</v>
      </c>
      <c r="I557" s="38">
        <f>H557*0.25</f>
        <v/>
      </c>
      <c r="J557" s="35">
        <f>J556+I557</f>
        <v/>
      </c>
      <c r="K557" s="15" t="inlineStr">
        <is>
          <t>Valid (Smart Meter)</t>
        </is>
      </c>
      <c r="L557" s="26" t="inlineStr">
        <is>
          <t>Dinner &amp; Entertainment system</t>
        </is>
      </c>
    </row>
    <row r="558">
      <c r="A558" s="12" t="inlineStr">
        <is>
          <t>2025-11-15 19:00:00</t>
        </is>
      </c>
      <c r="B558" s="12" t="inlineStr">
        <is>
          <t>2025-11-15</t>
        </is>
      </c>
      <c r="C558" s="12" t="inlineStr">
        <is>
          <t>19:00</t>
        </is>
      </c>
      <c r="D558" s="12" t="inlineStr">
        <is>
          <t>Saturday</t>
        </is>
      </c>
      <c r="E558" s="12" t="n">
        <v>556</v>
      </c>
      <c r="F558" s="27" t="n">
        <v>500400</v>
      </c>
      <c r="G558" s="27" t="n">
        <v>139</v>
      </c>
      <c r="H558" s="39" t="n">
        <v>4.141</v>
      </c>
      <c r="I558" s="40">
        <f>H558*0.25</f>
        <v/>
      </c>
      <c r="J558" s="34">
        <f>J557+I558</f>
        <v/>
      </c>
      <c r="K558" s="12" t="inlineStr">
        <is>
          <t>Valid (Smart Meter)</t>
        </is>
      </c>
      <c r="L558" s="28" t="inlineStr">
        <is>
          <t>Dinner &amp; Entertainment system</t>
        </is>
      </c>
    </row>
    <row r="559">
      <c r="A559" s="12" t="inlineStr">
        <is>
          <t>2025-11-15 19:15:00</t>
        </is>
      </c>
      <c r="B559" s="12" t="inlineStr">
        <is>
          <t>2025-11-15</t>
        </is>
      </c>
      <c r="C559" s="12" t="inlineStr">
        <is>
          <t>19:15</t>
        </is>
      </c>
      <c r="D559" s="12" t="inlineStr">
        <is>
          <t>Saturday</t>
        </is>
      </c>
      <c r="E559" s="12" t="n">
        <v>557</v>
      </c>
      <c r="F559" s="27" t="n">
        <v>501300</v>
      </c>
      <c r="G559" s="27" t="n">
        <v>139.25</v>
      </c>
      <c r="H559" s="39" t="n">
        <v>3.997</v>
      </c>
      <c r="I559" s="40">
        <f>H559*0.25</f>
        <v/>
      </c>
      <c r="J559" s="34">
        <f>J558+I559</f>
        <v/>
      </c>
      <c r="K559" s="12" t="inlineStr">
        <is>
          <t>Valid (Smart Meter)</t>
        </is>
      </c>
      <c r="L559" s="28" t="inlineStr">
        <is>
          <t>Dinner &amp; Entertainment system</t>
        </is>
      </c>
    </row>
    <row r="560">
      <c r="A560" s="12" t="inlineStr">
        <is>
          <t>2025-11-15 19:30:00</t>
        </is>
      </c>
      <c r="B560" s="12" t="inlineStr">
        <is>
          <t>2025-11-15</t>
        </is>
      </c>
      <c r="C560" s="12" t="inlineStr">
        <is>
          <t>19:30</t>
        </is>
      </c>
      <c r="D560" s="12" t="inlineStr">
        <is>
          <t>Saturday</t>
        </is>
      </c>
      <c r="E560" s="12" t="n">
        <v>558</v>
      </c>
      <c r="F560" s="27" t="n">
        <v>502200</v>
      </c>
      <c r="G560" s="27" t="n">
        <v>139.5</v>
      </c>
      <c r="H560" s="39" t="n">
        <v>4.081</v>
      </c>
      <c r="I560" s="40">
        <f>H560*0.25</f>
        <v/>
      </c>
      <c r="J560" s="34">
        <f>J559+I560</f>
        <v/>
      </c>
      <c r="K560" s="12" t="inlineStr">
        <is>
          <t>Valid (Smart Meter)</t>
        </is>
      </c>
      <c r="L560" s="28" t="inlineStr">
        <is>
          <t>Dinner &amp; Entertainment system</t>
        </is>
      </c>
    </row>
    <row r="561">
      <c r="A561" s="12" t="inlineStr">
        <is>
          <t>2025-11-15 19:45:00</t>
        </is>
      </c>
      <c r="B561" s="12" t="inlineStr">
        <is>
          <t>2025-11-15</t>
        </is>
      </c>
      <c r="C561" s="12" t="inlineStr">
        <is>
          <t>19:45</t>
        </is>
      </c>
      <c r="D561" s="12" t="inlineStr">
        <is>
          <t>Saturday</t>
        </is>
      </c>
      <c r="E561" s="12" t="n">
        <v>559</v>
      </c>
      <c r="F561" s="27" t="n">
        <v>503100</v>
      </c>
      <c r="G561" s="27" t="n">
        <v>139.75</v>
      </c>
      <c r="H561" s="39" t="n">
        <v>4.271</v>
      </c>
      <c r="I561" s="40">
        <f>H561*0.25</f>
        <v/>
      </c>
      <c r="J561" s="34">
        <f>J560+I561</f>
        <v/>
      </c>
      <c r="K561" s="12" t="inlineStr">
        <is>
          <t>Valid (Smart Meter)</t>
        </is>
      </c>
      <c r="L561" s="28" t="inlineStr">
        <is>
          <t>Dinner &amp; Entertainment system</t>
        </is>
      </c>
    </row>
    <row r="562">
      <c r="A562" s="15" t="inlineStr">
        <is>
          <t>2025-11-15 20:00:00</t>
        </is>
      </c>
      <c r="B562" s="15" t="inlineStr">
        <is>
          <t>2025-11-15</t>
        </is>
      </c>
      <c r="C562" s="15" t="inlineStr">
        <is>
          <t>20:00</t>
        </is>
      </c>
      <c r="D562" s="15" t="inlineStr">
        <is>
          <t>Saturday</t>
        </is>
      </c>
      <c r="E562" s="15" t="n">
        <v>560</v>
      </c>
      <c r="F562" s="25" t="n">
        <v>504000</v>
      </c>
      <c r="G562" s="25" t="n">
        <v>140</v>
      </c>
      <c r="H562" s="37" t="n">
        <v>4.156</v>
      </c>
      <c r="I562" s="38">
        <f>H562*0.25</f>
        <v/>
      </c>
      <c r="J562" s="35">
        <f>J561+I562</f>
        <v/>
      </c>
      <c r="K562" s="15" t="inlineStr">
        <is>
          <t>Valid (Smart Meter)</t>
        </is>
      </c>
      <c r="L562" s="26" t="inlineStr">
        <is>
          <t>Dinner &amp; Entertainment system</t>
        </is>
      </c>
    </row>
    <row r="563">
      <c r="A563" s="15" t="inlineStr">
        <is>
          <t>2025-11-15 20:15:00</t>
        </is>
      </c>
      <c r="B563" s="15" t="inlineStr">
        <is>
          <t>2025-11-15</t>
        </is>
      </c>
      <c r="C563" s="15" t="inlineStr">
        <is>
          <t>20:15</t>
        </is>
      </c>
      <c r="D563" s="15" t="inlineStr">
        <is>
          <t>Saturday</t>
        </is>
      </c>
      <c r="E563" s="15" t="n">
        <v>561</v>
      </c>
      <c r="F563" s="25" t="n">
        <v>504900</v>
      </c>
      <c r="G563" s="25" t="n">
        <v>140.25</v>
      </c>
      <c r="H563" s="37" t="n">
        <v>2.055</v>
      </c>
      <c r="I563" s="38">
        <f>H563*0.25</f>
        <v/>
      </c>
      <c r="J563" s="35">
        <f>J562+I563</f>
        <v/>
      </c>
      <c r="K563" s="15" t="inlineStr">
        <is>
          <t>Valid (Smart Meter)</t>
        </is>
      </c>
      <c r="L563" s="26" t="inlineStr">
        <is>
          <t>Weekend evening relaxation / Lighting</t>
        </is>
      </c>
    </row>
    <row r="564">
      <c r="A564" s="15" t="inlineStr">
        <is>
          <t>2025-11-15 20:30:00</t>
        </is>
      </c>
      <c r="B564" s="15" t="inlineStr">
        <is>
          <t>2025-11-15</t>
        </is>
      </c>
      <c r="C564" s="15" t="inlineStr">
        <is>
          <t>20:30</t>
        </is>
      </c>
      <c r="D564" s="15" t="inlineStr">
        <is>
          <t>Saturday</t>
        </is>
      </c>
      <c r="E564" s="15" t="n">
        <v>562</v>
      </c>
      <c r="F564" s="25" t="n">
        <v>505800</v>
      </c>
      <c r="G564" s="25" t="n">
        <v>140.5</v>
      </c>
      <c r="H564" s="37" t="n">
        <v>2.232</v>
      </c>
      <c r="I564" s="38">
        <f>H564*0.25</f>
        <v/>
      </c>
      <c r="J564" s="35">
        <f>J563+I564</f>
        <v/>
      </c>
      <c r="K564" s="15" t="inlineStr">
        <is>
          <t>Valid (Smart Meter)</t>
        </is>
      </c>
      <c r="L564" s="26" t="inlineStr">
        <is>
          <t>Weekend evening relaxation / Lighting</t>
        </is>
      </c>
    </row>
    <row r="565">
      <c r="A565" s="15" t="inlineStr">
        <is>
          <t>2025-11-15 20:45:00</t>
        </is>
      </c>
      <c r="B565" s="15" t="inlineStr">
        <is>
          <t>2025-11-15</t>
        </is>
      </c>
      <c r="C565" s="15" t="inlineStr">
        <is>
          <t>20:45</t>
        </is>
      </c>
      <c r="D565" s="15" t="inlineStr">
        <is>
          <t>Saturday</t>
        </is>
      </c>
      <c r="E565" s="15" t="n">
        <v>563</v>
      </c>
      <c r="F565" s="25" t="n">
        <v>506700</v>
      </c>
      <c r="G565" s="25" t="n">
        <v>140.75</v>
      </c>
      <c r="H565" s="37" t="n">
        <v>2.041</v>
      </c>
      <c r="I565" s="38">
        <f>H565*0.25</f>
        <v/>
      </c>
      <c r="J565" s="35">
        <f>J564+I565</f>
        <v/>
      </c>
      <c r="K565" s="15" t="inlineStr">
        <is>
          <t>Valid (Smart Meter)</t>
        </is>
      </c>
      <c r="L565" s="26" t="inlineStr">
        <is>
          <t>Weekend evening relaxation / Lighting</t>
        </is>
      </c>
    </row>
    <row r="566">
      <c r="A566" s="12" t="inlineStr">
        <is>
          <t>2025-11-15 21:00:00</t>
        </is>
      </c>
      <c r="B566" s="12" t="inlineStr">
        <is>
          <t>2025-11-15</t>
        </is>
      </c>
      <c r="C566" s="12" t="inlineStr">
        <is>
          <t>21:00</t>
        </is>
      </c>
      <c r="D566" s="12" t="inlineStr">
        <is>
          <t>Saturday</t>
        </is>
      </c>
      <c r="E566" s="12" t="n">
        <v>564</v>
      </c>
      <c r="F566" s="27" t="n">
        <v>507600</v>
      </c>
      <c r="G566" s="27" t="n">
        <v>141</v>
      </c>
      <c r="H566" s="39" t="n">
        <v>2.259</v>
      </c>
      <c r="I566" s="40">
        <f>H566*0.25</f>
        <v/>
      </c>
      <c r="J566" s="34">
        <f>J565+I566</f>
        <v/>
      </c>
      <c r="K566" s="12" t="inlineStr">
        <is>
          <t>Valid (Smart Meter)</t>
        </is>
      </c>
      <c r="L566" s="28" t="inlineStr">
        <is>
          <t>Weekend evening relaxation / Lighting</t>
        </is>
      </c>
    </row>
    <row r="567">
      <c r="A567" s="12" t="inlineStr">
        <is>
          <t>2025-11-15 21:15:00</t>
        </is>
      </c>
      <c r="B567" s="12" t="inlineStr">
        <is>
          <t>2025-11-15</t>
        </is>
      </c>
      <c r="C567" s="12" t="inlineStr">
        <is>
          <t>21:15</t>
        </is>
      </c>
      <c r="D567" s="12" t="inlineStr">
        <is>
          <t>Saturday</t>
        </is>
      </c>
      <c r="E567" s="12" t="n">
        <v>565</v>
      </c>
      <c r="F567" s="27" t="n">
        <v>508500</v>
      </c>
      <c r="G567" s="27" t="n">
        <v>141.25</v>
      </c>
      <c r="H567" s="39" t="n">
        <v>2.255</v>
      </c>
      <c r="I567" s="40">
        <f>H567*0.25</f>
        <v/>
      </c>
      <c r="J567" s="34">
        <f>J566+I567</f>
        <v/>
      </c>
      <c r="K567" s="12" t="inlineStr">
        <is>
          <t>Valid (Smart Meter)</t>
        </is>
      </c>
      <c r="L567" s="28" t="inlineStr">
        <is>
          <t>Weekend evening relaxation / Lighting</t>
        </is>
      </c>
    </row>
    <row r="568">
      <c r="A568" s="12" t="inlineStr">
        <is>
          <t>2025-11-15 21:30:00</t>
        </is>
      </c>
      <c r="B568" s="12" t="inlineStr">
        <is>
          <t>2025-11-15</t>
        </is>
      </c>
      <c r="C568" s="12" t="inlineStr">
        <is>
          <t>21:30</t>
        </is>
      </c>
      <c r="D568" s="12" t="inlineStr">
        <is>
          <t>Saturday</t>
        </is>
      </c>
      <c r="E568" s="12" t="n">
        <v>566</v>
      </c>
      <c r="F568" s="27" t="n">
        <v>509400</v>
      </c>
      <c r="G568" s="27" t="n">
        <v>141.5</v>
      </c>
      <c r="H568" s="39" t="n">
        <v>2.463</v>
      </c>
      <c r="I568" s="40">
        <f>H568*0.25</f>
        <v/>
      </c>
      <c r="J568" s="34">
        <f>J567+I568</f>
        <v/>
      </c>
      <c r="K568" s="12" t="inlineStr">
        <is>
          <t>Valid (Smart Meter)</t>
        </is>
      </c>
      <c r="L568" s="28" t="inlineStr">
        <is>
          <t>Weekend evening relaxation / Lighting</t>
        </is>
      </c>
    </row>
    <row r="569">
      <c r="A569" s="12" t="inlineStr">
        <is>
          <t>2025-11-15 21:45:00</t>
        </is>
      </c>
      <c r="B569" s="12" t="inlineStr">
        <is>
          <t>2025-11-15</t>
        </is>
      </c>
      <c r="C569" s="12" t="inlineStr">
        <is>
          <t>21:45</t>
        </is>
      </c>
      <c r="D569" s="12" t="inlineStr">
        <is>
          <t>Saturday</t>
        </is>
      </c>
      <c r="E569" s="12" t="n">
        <v>567</v>
      </c>
      <c r="F569" s="27" t="n">
        <v>510300</v>
      </c>
      <c r="G569" s="27" t="n">
        <v>141.75</v>
      </c>
      <c r="H569" s="39" t="n">
        <v>2.285</v>
      </c>
      <c r="I569" s="40">
        <f>H569*0.25</f>
        <v/>
      </c>
      <c r="J569" s="34">
        <f>J568+I569</f>
        <v/>
      </c>
      <c r="K569" s="12" t="inlineStr">
        <is>
          <t>Valid (Smart Meter)</t>
        </is>
      </c>
      <c r="L569" s="28" t="inlineStr">
        <is>
          <t>Weekend evening relaxation / Lighting</t>
        </is>
      </c>
    </row>
    <row r="570">
      <c r="A570" s="15" t="inlineStr">
        <is>
          <t>2025-11-15 22:00:00</t>
        </is>
      </c>
      <c r="B570" s="15" t="inlineStr">
        <is>
          <t>2025-11-15</t>
        </is>
      </c>
      <c r="C570" s="15" t="inlineStr">
        <is>
          <t>22:00</t>
        </is>
      </c>
      <c r="D570" s="15" t="inlineStr">
        <is>
          <t>Saturday</t>
        </is>
      </c>
      <c r="E570" s="15" t="n">
        <v>568</v>
      </c>
      <c r="F570" s="25" t="n">
        <v>511200</v>
      </c>
      <c r="G570" s="25" t="n">
        <v>142</v>
      </c>
      <c r="H570" s="37" t="n">
        <v>2.256</v>
      </c>
      <c r="I570" s="38">
        <f>H570*0.25</f>
        <v/>
      </c>
      <c r="J570" s="35">
        <f>J569+I570</f>
        <v/>
      </c>
      <c r="K570" s="15" t="inlineStr">
        <is>
          <t>Valid (Smart Meter)</t>
        </is>
      </c>
      <c r="L570" s="26" t="inlineStr">
        <is>
          <t>Weekend evening relaxation / Lighting</t>
        </is>
      </c>
    </row>
    <row r="571">
      <c r="A571" s="15" t="inlineStr">
        <is>
          <t>2025-11-15 22:15:00</t>
        </is>
      </c>
      <c r="B571" s="15" t="inlineStr">
        <is>
          <t>2025-11-15</t>
        </is>
      </c>
      <c r="C571" s="15" t="inlineStr">
        <is>
          <t>22:15</t>
        </is>
      </c>
      <c r="D571" s="15" t="inlineStr">
        <is>
          <t>Saturday</t>
        </is>
      </c>
      <c r="E571" s="15" t="n">
        <v>569</v>
      </c>
      <c r="F571" s="25" t="n">
        <v>512100</v>
      </c>
      <c r="G571" s="25" t="n">
        <v>142.25</v>
      </c>
      <c r="H571" s="37" t="n">
        <v>2.54</v>
      </c>
      <c r="I571" s="38">
        <f>H571*0.25</f>
        <v/>
      </c>
      <c r="J571" s="35">
        <f>J570+I571</f>
        <v/>
      </c>
      <c r="K571" s="15" t="inlineStr">
        <is>
          <t>Valid (Smart Meter)</t>
        </is>
      </c>
      <c r="L571" s="26" t="inlineStr">
        <is>
          <t>Weekend evening relaxation / Lighting</t>
        </is>
      </c>
    </row>
    <row r="572">
      <c r="A572" s="15" t="inlineStr">
        <is>
          <t>2025-11-15 22:30:00</t>
        </is>
      </c>
      <c r="B572" s="15" t="inlineStr">
        <is>
          <t>2025-11-15</t>
        </is>
      </c>
      <c r="C572" s="15" t="inlineStr">
        <is>
          <t>22:30</t>
        </is>
      </c>
      <c r="D572" s="15" t="inlineStr">
        <is>
          <t>Saturday</t>
        </is>
      </c>
      <c r="E572" s="15" t="n">
        <v>570</v>
      </c>
      <c r="F572" s="25" t="n">
        <v>513000</v>
      </c>
      <c r="G572" s="25" t="n">
        <v>142.5</v>
      </c>
      <c r="H572" s="37" t="n">
        <v>2.429</v>
      </c>
      <c r="I572" s="38">
        <f>H572*0.25</f>
        <v/>
      </c>
      <c r="J572" s="35">
        <f>J571+I572</f>
        <v/>
      </c>
      <c r="K572" s="15" t="inlineStr">
        <is>
          <t>Valid (Smart Meter)</t>
        </is>
      </c>
      <c r="L572" s="26" t="inlineStr">
        <is>
          <t>Weekend evening relaxation / Lighting</t>
        </is>
      </c>
    </row>
    <row r="573">
      <c r="A573" s="15" t="inlineStr">
        <is>
          <t>2025-11-15 22:45:00</t>
        </is>
      </c>
      <c r="B573" s="15" t="inlineStr">
        <is>
          <t>2025-11-15</t>
        </is>
      </c>
      <c r="C573" s="15" t="inlineStr">
        <is>
          <t>22:45</t>
        </is>
      </c>
      <c r="D573" s="15" t="inlineStr">
        <is>
          <t>Saturday</t>
        </is>
      </c>
      <c r="E573" s="15" t="n">
        <v>571</v>
      </c>
      <c r="F573" s="25" t="n">
        <v>513900</v>
      </c>
      <c r="G573" s="25" t="n">
        <v>142.75</v>
      </c>
      <c r="H573" s="37" t="n">
        <v>2.205</v>
      </c>
      <c r="I573" s="38">
        <f>H573*0.25</f>
        <v/>
      </c>
      <c r="J573" s="35">
        <f>J572+I573</f>
        <v/>
      </c>
      <c r="K573" s="15" t="inlineStr">
        <is>
          <t>Valid (Smart Meter)</t>
        </is>
      </c>
      <c r="L573" s="26" t="inlineStr">
        <is>
          <t>Weekend evening relaxation / Lighting</t>
        </is>
      </c>
    </row>
    <row r="574">
      <c r="A574" s="12" t="inlineStr">
        <is>
          <t>2025-11-15 23:00:00</t>
        </is>
      </c>
      <c r="B574" s="12" t="inlineStr">
        <is>
          <t>2025-11-15</t>
        </is>
      </c>
      <c r="C574" s="12" t="inlineStr">
        <is>
          <t>23:00</t>
        </is>
      </c>
      <c r="D574" s="12" t="inlineStr">
        <is>
          <t>Saturday</t>
        </is>
      </c>
      <c r="E574" s="12" t="n">
        <v>572</v>
      </c>
      <c r="F574" s="27" t="n">
        <v>514800</v>
      </c>
      <c r="G574" s="27" t="n">
        <v>143</v>
      </c>
      <c r="H574" s="39" t="n">
        <v>2.254</v>
      </c>
      <c r="I574" s="40">
        <f>H574*0.25</f>
        <v/>
      </c>
      <c r="J574" s="34">
        <f>J573+I574</f>
        <v/>
      </c>
      <c r="K574" s="12" t="inlineStr">
        <is>
          <t>Valid (Smart Meter)</t>
        </is>
      </c>
      <c r="L574" s="28" t="inlineStr">
        <is>
          <t>Weekend evening relaxation / Lighting</t>
        </is>
      </c>
    </row>
    <row r="575">
      <c r="A575" s="12" t="inlineStr">
        <is>
          <t>2025-11-15 23:15:00</t>
        </is>
      </c>
      <c r="B575" s="12" t="inlineStr">
        <is>
          <t>2025-11-15</t>
        </is>
      </c>
      <c r="C575" s="12" t="inlineStr">
        <is>
          <t>23:15</t>
        </is>
      </c>
      <c r="D575" s="12" t="inlineStr">
        <is>
          <t>Saturday</t>
        </is>
      </c>
      <c r="E575" s="12" t="n">
        <v>573</v>
      </c>
      <c r="F575" s="27" t="n">
        <v>515700</v>
      </c>
      <c r="G575" s="27" t="n">
        <v>143.25</v>
      </c>
      <c r="H575" s="39" t="n">
        <v>0.629</v>
      </c>
      <c r="I575" s="40">
        <f>H575*0.25</f>
        <v/>
      </c>
      <c r="J575" s="34">
        <f>J574+I575</f>
        <v/>
      </c>
      <c r="K575" s="12" t="inlineStr">
        <is>
          <t>Valid (Smart Meter)</t>
        </is>
      </c>
      <c r="L575" s="28" t="inlineStr">
        <is>
          <t>Night baseload / Heating</t>
        </is>
      </c>
    </row>
    <row r="576">
      <c r="A576" s="12" t="inlineStr">
        <is>
          <t>2025-11-15 23:30:00</t>
        </is>
      </c>
      <c r="B576" s="12" t="inlineStr">
        <is>
          <t>2025-11-15</t>
        </is>
      </c>
      <c r="C576" s="12" t="inlineStr">
        <is>
          <t>23:30</t>
        </is>
      </c>
      <c r="D576" s="12" t="inlineStr">
        <is>
          <t>Saturday</t>
        </is>
      </c>
      <c r="E576" s="12" t="n">
        <v>574</v>
      </c>
      <c r="F576" s="27" t="n">
        <v>516600</v>
      </c>
      <c r="G576" s="27" t="n">
        <v>143.5</v>
      </c>
      <c r="H576" s="39" t="n">
        <v>0.65</v>
      </c>
      <c r="I576" s="40">
        <f>H576*0.25</f>
        <v/>
      </c>
      <c r="J576" s="34">
        <f>J575+I576</f>
        <v/>
      </c>
      <c r="K576" s="12" t="inlineStr">
        <is>
          <t>Valid (Smart Meter)</t>
        </is>
      </c>
      <c r="L576" s="28" t="inlineStr">
        <is>
          <t>Night baseload / Heating</t>
        </is>
      </c>
    </row>
    <row r="577">
      <c r="A577" s="12" t="inlineStr">
        <is>
          <t>2025-11-15 23:45:00</t>
        </is>
      </c>
      <c r="B577" s="12" t="inlineStr">
        <is>
          <t>2025-11-15</t>
        </is>
      </c>
      <c r="C577" s="12" t="inlineStr">
        <is>
          <t>23:45</t>
        </is>
      </c>
      <c r="D577" s="12" t="inlineStr">
        <is>
          <t>Saturday</t>
        </is>
      </c>
      <c r="E577" s="12" t="n">
        <v>575</v>
      </c>
      <c r="F577" s="27" t="n">
        <v>517500</v>
      </c>
      <c r="G577" s="27" t="n">
        <v>143.75</v>
      </c>
      <c r="H577" s="39" t="n">
        <v>0.5570000000000001</v>
      </c>
      <c r="I577" s="40">
        <f>H577*0.25</f>
        <v/>
      </c>
      <c r="J577" s="34">
        <f>J576+I577</f>
        <v/>
      </c>
      <c r="K577" s="12" t="inlineStr">
        <is>
          <t>Valid (Smart Meter)</t>
        </is>
      </c>
      <c r="L577" s="28" t="inlineStr">
        <is>
          <t>Night baseload / Heating</t>
        </is>
      </c>
    </row>
    <row r="578">
      <c r="A578" s="15" t="inlineStr">
        <is>
          <t>2025-11-16 00:00:00</t>
        </is>
      </c>
      <c r="B578" s="15" t="inlineStr">
        <is>
          <t>2025-11-16</t>
        </is>
      </c>
      <c r="C578" s="15" t="inlineStr">
        <is>
          <t>00:00</t>
        </is>
      </c>
      <c r="D578" s="15" t="inlineStr">
        <is>
          <t>Sunday</t>
        </is>
      </c>
      <c r="E578" s="15" t="n">
        <v>576</v>
      </c>
      <c r="F578" s="25" t="n">
        <v>518400</v>
      </c>
      <c r="G578" s="25" t="n">
        <v>144</v>
      </c>
      <c r="H578" s="37" t="n">
        <v>0.523</v>
      </c>
      <c r="I578" s="38">
        <f>H578*0.25</f>
        <v/>
      </c>
      <c r="J578" s="35">
        <f>J577+I578</f>
        <v/>
      </c>
      <c r="K578" s="15" t="inlineStr">
        <is>
          <t>Valid (Smart Meter)</t>
        </is>
      </c>
      <c r="L578" s="26" t="inlineStr">
        <is>
          <t>Night baseload / Heating</t>
        </is>
      </c>
    </row>
    <row r="579">
      <c r="A579" s="15" t="inlineStr">
        <is>
          <t>2025-11-16 00:15:00</t>
        </is>
      </c>
      <c r="B579" s="15" t="inlineStr">
        <is>
          <t>2025-11-16</t>
        </is>
      </c>
      <c r="C579" s="15" t="inlineStr">
        <is>
          <t>00:15</t>
        </is>
      </c>
      <c r="D579" s="15" t="inlineStr">
        <is>
          <t>Sunday</t>
        </is>
      </c>
      <c r="E579" s="15" t="n">
        <v>577</v>
      </c>
      <c r="F579" s="25" t="n">
        <v>519300</v>
      </c>
      <c r="G579" s="25" t="n">
        <v>144.25</v>
      </c>
      <c r="H579" s="37" t="n">
        <v>0.664</v>
      </c>
      <c r="I579" s="38">
        <f>H579*0.25</f>
        <v/>
      </c>
      <c r="J579" s="35">
        <f>J578+I579</f>
        <v/>
      </c>
      <c r="K579" s="15" t="inlineStr">
        <is>
          <t>Valid (Smart Meter)</t>
        </is>
      </c>
      <c r="L579" s="26" t="inlineStr">
        <is>
          <t>Night baseload / Heating</t>
        </is>
      </c>
    </row>
    <row r="580">
      <c r="A580" s="15" t="inlineStr">
        <is>
          <t>2025-11-16 00:30:00</t>
        </is>
      </c>
      <c r="B580" s="15" t="inlineStr">
        <is>
          <t>2025-11-16</t>
        </is>
      </c>
      <c r="C580" s="15" t="inlineStr">
        <is>
          <t>00:30</t>
        </is>
      </c>
      <c r="D580" s="15" t="inlineStr">
        <is>
          <t>Sunday</t>
        </is>
      </c>
      <c r="E580" s="15" t="n">
        <v>578</v>
      </c>
      <c r="F580" s="25" t="n">
        <v>520200</v>
      </c>
      <c r="G580" s="25" t="n">
        <v>144.5</v>
      </c>
      <c r="H580" s="37" t="n">
        <v>0.728</v>
      </c>
      <c r="I580" s="38">
        <f>H580*0.25</f>
        <v/>
      </c>
      <c r="J580" s="35">
        <f>J579+I580</f>
        <v/>
      </c>
      <c r="K580" s="15" t="inlineStr">
        <is>
          <t>Valid (Smart Meter)</t>
        </is>
      </c>
      <c r="L580" s="26" t="inlineStr">
        <is>
          <t>Night baseload / Heating</t>
        </is>
      </c>
    </row>
    <row r="581">
      <c r="A581" s="15" t="inlineStr">
        <is>
          <t>2025-11-16 00:45:00</t>
        </is>
      </c>
      <c r="B581" s="15" t="inlineStr">
        <is>
          <t>2025-11-16</t>
        </is>
      </c>
      <c r="C581" s="15" t="inlineStr">
        <is>
          <t>00:45</t>
        </is>
      </c>
      <c r="D581" s="15" t="inlineStr">
        <is>
          <t>Sunday</t>
        </is>
      </c>
      <c r="E581" s="15" t="n">
        <v>579</v>
      </c>
      <c r="F581" s="25" t="n">
        <v>521100</v>
      </c>
      <c r="G581" s="25" t="n">
        <v>144.75</v>
      </c>
      <c r="H581" s="37" t="n">
        <v>0.737</v>
      </c>
      <c r="I581" s="38">
        <f>H581*0.25</f>
        <v/>
      </c>
      <c r="J581" s="35">
        <f>J580+I581</f>
        <v/>
      </c>
      <c r="K581" s="15" t="inlineStr">
        <is>
          <t>Valid (Smart Meter)</t>
        </is>
      </c>
      <c r="L581" s="26" t="inlineStr">
        <is>
          <t>Night baseload / Heating</t>
        </is>
      </c>
    </row>
    <row r="582">
      <c r="A582" s="12" t="inlineStr">
        <is>
          <t>2025-11-16 01:00:00</t>
        </is>
      </c>
      <c r="B582" s="12" t="inlineStr">
        <is>
          <t>2025-11-16</t>
        </is>
      </c>
      <c r="C582" s="12" t="inlineStr">
        <is>
          <t>01:00</t>
        </is>
      </c>
      <c r="D582" s="12" t="inlineStr">
        <is>
          <t>Sunday</t>
        </is>
      </c>
      <c r="E582" s="12" t="n">
        <v>580</v>
      </c>
      <c r="F582" s="27" t="n">
        <v>522000</v>
      </c>
      <c r="G582" s="27" t="n">
        <v>145</v>
      </c>
      <c r="H582" s="39" t="n">
        <v>0.623</v>
      </c>
      <c r="I582" s="40">
        <f>H582*0.25</f>
        <v/>
      </c>
      <c r="J582" s="34">
        <f>J581+I582</f>
        <v/>
      </c>
      <c r="K582" s="12" t="inlineStr">
        <is>
          <t>Valid (Smart Meter)</t>
        </is>
      </c>
      <c r="L582" s="28" t="inlineStr">
        <is>
          <t>Night baseload / Heating</t>
        </is>
      </c>
    </row>
    <row r="583">
      <c r="A583" s="12" t="inlineStr">
        <is>
          <t>2025-11-16 01:15:00</t>
        </is>
      </c>
      <c r="B583" s="12" t="inlineStr">
        <is>
          <t>2025-11-16</t>
        </is>
      </c>
      <c r="C583" s="12" t="inlineStr">
        <is>
          <t>01:15</t>
        </is>
      </c>
      <c r="D583" s="12" t="inlineStr">
        <is>
          <t>Sunday</t>
        </is>
      </c>
      <c r="E583" s="12" t="n">
        <v>581</v>
      </c>
      <c r="F583" s="27" t="n">
        <v>522900</v>
      </c>
      <c r="G583" s="27" t="n">
        <v>145.25</v>
      </c>
      <c r="H583" s="39" t="n">
        <v>0.733</v>
      </c>
      <c r="I583" s="40">
        <f>H583*0.25</f>
        <v/>
      </c>
      <c r="J583" s="34">
        <f>J582+I583</f>
        <v/>
      </c>
      <c r="K583" s="12" t="inlineStr">
        <is>
          <t>Valid (Smart Meter)</t>
        </is>
      </c>
      <c r="L583" s="28" t="inlineStr">
        <is>
          <t>Night baseload / Heating</t>
        </is>
      </c>
    </row>
    <row r="584">
      <c r="A584" s="12" t="inlineStr">
        <is>
          <t>2025-11-16 01:30:00</t>
        </is>
      </c>
      <c r="B584" s="12" t="inlineStr">
        <is>
          <t>2025-11-16</t>
        </is>
      </c>
      <c r="C584" s="12" t="inlineStr">
        <is>
          <t>01:30</t>
        </is>
      </c>
      <c r="D584" s="12" t="inlineStr">
        <is>
          <t>Sunday</t>
        </is>
      </c>
      <c r="E584" s="12" t="n">
        <v>582</v>
      </c>
      <c r="F584" s="27" t="n">
        <v>523800</v>
      </c>
      <c r="G584" s="27" t="n">
        <v>145.5</v>
      </c>
      <c r="H584" s="39" t="n">
        <v>0.758</v>
      </c>
      <c r="I584" s="40">
        <f>H584*0.25</f>
        <v/>
      </c>
      <c r="J584" s="34">
        <f>J583+I584</f>
        <v/>
      </c>
      <c r="K584" s="12" t="inlineStr">
        <is>
          <t>Valid (Smart Meter)</t>
        </is>
      </c>
      <c r="L584" s="28" t="inlineStr">
        <is>
          <t>Night baseload / Heating</t>
        </is>
      </c>
    </row>
    <row r="585">
      <c r="A585" s="12" t="inlineStr">
        <is>
          <t>2025-11-16 01:45:00</t>
        </is>
      </c>
      <c r="B585" s="12" t="inlineStr">
        <is>
          <t>2025-11-16</t>
        </is>
      </c>
      <c r="C585" s="12" t="inlineStr">
        <is>
          <t>01:45</t>
        </is>
      </c>
      <c r="D585" s="12" t="inlineStr">
        <is>
          <t>Sunday</t>
        </is>
      </c>
      <c r="E585" s="12" t="n">
        <v>583</v>
      </c>
      <c r="F585" s="27" t="n">
        <v>524700</v>
      </c>
      <c r="G585" s="27" t="n">
        <v>145.75</v>
      </c>
      <c r="H585" s="39" t="n">
        <v>0.656</v>
      </c>
      <c r="I585" s="40">
        <f>H585*0.25</f>
        <v/>
      </c>
      <c r="J585" s="34">
        <f>J584+I585</f>
        <v/>
      </c>
      <c r="K585" s="12" t="inlineStr">
        <is>
          <t>Valid (Smart Meter)</t>
        </is>
      </c>
      <c r="L585" s="28" t="inlineStr">
        <is>
          <t>Night baseload / Heating</t>
        </is>
      </c>
    </row>
    <row r="586">
      <c r="A586" s="15" t="inlineStr">
        <is>
          <t>2025-11-16 02:00:00</t>
        </is>
      </c>
      <c r="B586" s="15" t="inlineStr">
        <is>
          <t>2025-11-16</t>
        </is>
      </c>
      <c r="C586" s="15" t="inlineStr">
        <is>
          <t>02:00</t>
        </is>
      </c>
      <c r="D586" s="15" t="inlineStr">
        <is>
          <t>Sunday</t>
        </is>
      </c>
      <c r="E586" s="15" t="n">
        <v>584</v>
      </c>
      <c r="F586" s="25" t="n">
        <v>525600</v>
      </c>
      <c r="G586" s="25" t="n">
        <v>146</v>
      </c>
      <c r="H586" s="37" t="n">
        <v>0.614</v>
      </c>
      <c r="I586" s="38">
        <f>H586*0.25</f>
        <v/>
      </c>
      <c r="J586" s="35">
        <f>J585+I586</f>
        <v/>
      </c>
      <c r="K586" s="15" t="inlineStr">
        <is>
          <t>Valid (Smart Meter)</t>
        </is>
      </c>
      <c r="L586" s="26" t="inlineStr">
        <is>
          <t>Night baseload / Heating</t>
        </is>
      </c>
    </row>
    <row r="587">
      <c r="A587" s="15" t="inlineStr">
        <is>
          <t>2025-11-16 02:15:00</t>
        </is>
      </c>
      <c r="B587" s="15" t="inlineStr">
        <is>
          <t>2025-11-16</t>
        </is>
      </c>
      <c r="C587" s="15" t="inlineStr">
        <is>
          <t>02:15</t>
        </is>
      </c>
      <c r="D587" s="15" t="inlineStr">
        <is>
          <t>Sunday</t>
        </is>
      </c>
      <c r="E587" s="15" t="n">
        <v>585</v>
      </c>
      <c r="F587" s="25" t="n">
        <v>526500</v>
      </c>
      <c r="G587" s="25" t="n">
        <v>146.25</v>
      </c>
      <c r="H587" s="37" t="n">
        <v>0.65</v>
      </c>
      <c r="I587" s="38">
        <f>H587*0.25</f>
        <v/>
      </c>
      <c r="J587" s="35">
        <f>J586+I587</f>
        <v/>
      </c>
      <c r="K587" s="15" t="inlineStr">
        <is>
          <t>Valid (Smart Meter)</t>
        </is>
      </c>
      <c r="L587" s="26" t="inlineStr">
        <is>
          <t>Night baseload / Heating</t>
        </is>
      </c>
    </row>
    <row r="588">
      <c r="A588" s="15" t="inlineStr">
        <is>
          <t>2025-11-16 02:30:00</t>
        </is>
      </c>
      <c r="B588" s="15" t="inlineStr">
        <is>
          <t>2025-11-16</t>
        </is>
      </c>
      <c r="C588" s="15" t="inlineStr">
        <is>
          <t>02:30</t>
        </is>
      </c>
      <c r="D588" s="15" t="inlineStr">
        <is>
          <t>Sunday</t>
        </is>
      </c>
      <c r="E588" s="15" t="n">
        <v>586</v>
      </c>
      <c r="F588" s="25" t="n">
        <v>527400</v>
      </c>
      <c r="G588" s="25" t="n">
        <v>146.5</v>
      </c>
      <c r="H588" s="37" t="n">
        <v>0.538</v>
      </c>
      <c r="I588" s="38">
        <f>H588*0.25</f>
        <v/>
      </c>
      <c r="J588" s="35">
        <f>J587+I588</f>
        <v/>
      </c>
      <c r="K588" s="15" t="inlineStr">
        <is>
          <t>Valid (Smart Meter)</t>
        </is>
      </c>
      <c r="L588" s="26" t="inlineStr">
        <is>
          <t>Night baseload / Heating</t>
        </is>
      </c>
    </row>
    <row r="589">
      <c r="A589" s="15" t="inlineStr">
        <is>
          <t>2025-11-16 02:45:00</t>
        </is>
      </c>
      <c r="B589" s="15" t="inlineStr">
        <is>
          <t>2025-11-16</t>
        </is>
      </c>
      <c r="C589" s="15" t="inlineStr">
        <is>
          <t>02:45</t>
        </is>
      </c>
      <c r="D589" s="15" t="inlineStr">
        <is>
          <t>Sunday</t>
        </is>
      </c>
      <c r="E589" s="15" t="n">
        <v>587</v>
      </c>
      <c r="F589" s="25" t="n">
        <v>528300</v>
      </c>
      <c r="G589" s="25" t="n">
        <v>146.75</v>
      </c>
      <c r="H589" s="37" t="n">
        <v>0.519</v>
      </c>
      <c r="I589" s="38">
        <f>H589*0.25</f>
        <v/>
      </c>
      <c r="J589" s="35">
        <f>J588+I589</f>
        <v/>
      </c>
      <c r="K589" s="15" t="inlineStr">
        <is>
          <t>Valid (Smart Meter)</t>
        </is>
      </c>
      <c r="L589" s="26" t="inlineStr">
        <is>
          <t>Night baseload / Heating</t>
        </is>
      </c>
    </row>
    <row r="590">
      <c r="A590" s="12" t="inlineStr">
        <is>
          <t>2025-11-16 03:00:00</t>
        </is>
      </c>
      <c r="B590" s="12" t="inlineStr">
        <is>
          <t>2025-11-16</t>
        </is>
      </c>
      <c r="C590" s="12" t="inlineStr">
        <is>
          <t>03:00</t>
        </is>
      </c>
      <c r="D590" s="12" t="inlineStr">
        <is>
          <t>Sunday</t>
        </is>
      </c>
      <c r="E590" s="12" t="n">
        <v>588</v>
      </c>
      <c r="F590" s="27" t="n">
        <v>529200</v>
      </c>
      <c r="G590" s="27" t="n">
        <v>147</v>
      </c>
      <c r="H590" s="39" t="n">
        <v>0.541</v>
      </c>
      <c r="I590" s="40">
        <f>H590*0.25</f>
        <v/>
      </c>
      <c r="J590" s="34">
        <f>J589+I590</f>
        <v/>
      </c>
      <c r="K590" s="12" t="inlineStr">
        <is>
          <t>Valid (Smart Meter)</t>
        </is>
      </c>
      <c r="L590" s="28" t="inlineStr">
        <is>
          <t>Night baseload / Heating</t>
        </is>
      </c>
    </row>
    <row r="591">
      <c r="A591" s="12" t="inlineStr">
        <is>
          <t>2025-11-16 03:15:00</t>
        </is>
      </c>
      <c r="B591" s="12" t="inlineStr">
        <is>
          <t>2025-11-16</t>
        </is>
      </c>
      <c r="C591" s="12" t="inlineStr">
        <is>
          <t>03:15</t>
        </is>
      </c>
      <c r="D591" s="12" t="inlineStr">
        <is>
          <t>Sunday</t>
        </is>
      </c>
      <c r="E591" s="12" t="n">
        <v>589</v>
      </c>
      <c r="F591" s="27" t="n">
        <v>530100</v>
      </c>
      <c r="G591" s="27" t="n">
        <v>147.25</v>
      </c>
      <c r="H591" s="39" t="n">
        <v>0.485</v>
      </c>
      <c r="I591" s="40">
        <f>H591*0.25</f>
        <v/>
      </c>
      <c r="J591" s="34">
        <f>J590+I591</f>
        <v/>
      </c>
      <c r="K591" s="12" t="inlineStr">
        <is>
          <t>Valid (Smart Meter)</t>
        </is>
      </c>
      <c r="L591" s="28" t="inlineStr">
        <is>
          <t>Night baseload / Heating</t>
        </is>
      </c>
    </row>
    <row r="592">
      <c r="A592" s="12" t="inlineStr">
        <is>
          <t>2025-11-16 03:30:00</t>
        </is>
      </c>
      <c r="B592" s="12" t="inlineStr">
        <is>
          <t>2025-11-16</t>
        </is>
      </c>
      <c r="C592" s="12" t="inlineStr">
        <is>
          <t>03:30</t>
        </is>
      </c>
      <c r="D592" s="12" t="inlineStr">
        <is>
          <t>Sunday</t>
        </is>
      </c>
      <c r="E592" s="12" t="n">
        <v>590</v>
      </c>
      <c r="F592" s="27" t="n">
        <v>531000</v>
      </c>
      <c r="G592" s="27" t="n">
        <v>147.5</v>
      </c>
      <c r="H592" s="39" t="n">
        <v>0.485</v>
      </c>
      <c r="I592" s="40">
        <f>H592*0.25</f>
        <v/>
      </c>
      <c r="J592" s="34">
        <f>J591+I592</f>
        <v/>
      </c>
      <c r="K592" s="12" t="inlineStr">
        <is>
          <t>Valid (Smart Meter)</t>
        </is>
      </c>
      <c r="L592" s="28" t="inlineStr">
        <is>
          <t>Night baseload / Heating</t>
        </is>
      </c>
    </row>
    <row r="593">
      <c r="A593" s="12" t="inlineStr">
        <is>
          <t>2025-11-16 03:45:00</t>
        </is>
      </c>
      <c r="B593" s="12" t="inlineStr">
        <is>
          <t>2025-11-16</t>
        </is>
      </c>
      <c r="C593" s="12" t="inlineStr">
        <is>
          <t>03:45</t>
        </is>
      </c>
      <c r="D593" s="12" t="inlineStr">
        <is>
          <t>Sunday</t>
        </is>
      </c>
      <c r="E593" s="12" t="n">
        <v>591</v>
      </c>
      <c r="F593" s="27" t="n">
        <v>531900</v>
      </c>
      <c r="G593" s="27" t="n">
        <v>147.75</v>
      </c>
      <c r="H593" s="39" t="n">
        <v>0.611</v>
      </c>
      <c r="I593" s="40">
        <f>H593*0.25</f>
        <v/>
      </c>
      <c r="J593" s="34">
        <f>J592+I593</f>
        <v/>
      </c>
      <c r="K593" s="12" t="inlineStr">
        <is>
          <t>Valid (Smart Meter)</t>
        </is>
      </c>
      <c r="L593" s="28" t="inlineStr">
        <is>
          <t>Night baseload / Heating</t>
        </is>
      </c>
    </row>
    <row r="594">
      <c r="A594" s="15" t="inlineStr">
        <is>
          <t>2025-11-16 04:00:00</t>
        </is>
      </c>
      <c r="B594" s="15" t="inlineStr">
        <is>
          <t>2025-11-16</t>
        </is>
      </c>
      <c r="C594" s="15" t="inlineStr">
        <is>
          <t>04:00</t>
        </is>
      </c>
      <c r="D594" s="15" t="inlineStr">
        <is>
          <t>Sunday</t>
        </is>
      </c>
      <c r="E594" s="15" t="n">
        <v>592</v>
      </c>
      <c r="F594" s="25" t="n">
        <v>532800</v>
      </c>
      <c r="G594" s="25" t="n">
        <v>148</v>
      </c>
      <c r="H594" s="37" t="n">
        <v>0.555</v>
      </c>
      <c r="I594" s="38">
        <f>H594*0.25</f>
        <v/>
      </c>
      <c r="J594" s="35">
        <f>J593+I594</f>
        <v/>
      </c>
      <c r="K594" s="15" t="inlineStr">
        <is>
          <t>Valid (Smart Meter)</t>
        </is>
      </c>
      <c r="L594" s="26" t="inlineStr">
        <is>
          <t>Night baseload / Heating</t>
        </is>
      </c>
    </row>
    <row r="595">
      <c r="A595" s="15" t="inlineStr">
        <is>
          <t>2025-11-16 04:15:00</t>
        </is>
      </c>
      <c r="B595" s="15" t="inlineStr">
        <is>
          <t>2025-11-16</t>
        </is>
      </c>
      <c r="C595" s="15" t="inlineStr">
        <is>
          <t>04:15</t>
        </is>
      </c>
      <c r="D595" s="15" t="inlineStr">
        <is>
          <t>Sunday</t>
        </is>
      </c>
      <c r="E595" s="15" t="n">
        <v>593</v>
      </c>
      <c r="F595" s="25" t="n">
        <v>533700</v>
      </c>
      <c r="G595" s="25" t="n">
        <v>148.25</v>
      </c>
      <c r="H595" s="37" t="n">
        <v>0.643</v>
      </c>
      <c r="I595" s="38">
        <f>H595*0.25</f>
        <v/>
      </c>
      <c r="J595" s="35">
        <f>J594+I595</f>
        <v/>
      </c>
      <c r="K595" s="15" t="inlineStr">
        <is>
          <t>Valid (Smart Meter)</t>
        </is>
      </c>
      <c r="L595" s="26" t="inlineStr">
        <is>
          <t>Night baseload / Heating</t>
        </is>
      </c>
    </row>
    <row r="596">
      <c r="A596" s="15" t="inlineStr">
        <is>
          <t>2025-11-16 04:30:00</t>
        </is>
      </c>
      <c r="B596" s="15" t="inlineStr">
        <is>
          <t>2025-11-16</t>
        </is>
      </c>
      <c r="C596" s="15" t="inlineStr">
        <is>
          <t>04:30</t>
        </is>
      </c>
      <c r="D596" s="15" t="inlineStr">
        <is>
          <t>Sunday</t>
        </is>
      </c>
      <c r="E596" s="15" t="n">
        <v>594</v>
      </c>
      <c r="F596" s="25" t="n">
        <v>534600</v>
      </c>
      <c r="G596" s="25" t="n">
        <v>148.5</v>
      </c>
      <c r="H596" s="37" t="n">
        <v>0.636</v>
      </c>
      <c r="I596" s="38">
        <f>H596*0.25</f>
        <v/>
      </c>
      <c r="J596" s="35">
        <f>J595+I596</f>
        <v/>
      </c>
      <c r="K596" s="15" t="inlineStr">
        <is>
          <t>Valid (Smart Meter)</t>
        </is>
      </c>
      <c r="L596" s="26" t="inlineStr">
        <is>
          <t>Night baseload / Heating</t>
        </is>
      </c>
    </row>
    <row r="597">
      <c r="A597" s="15" t="inlineStr">
        <is>
          <t>2025-11-16 04:45:00</t>
        </is>
      </c>
      <c r="B597" s="15" t="inlineStr">
        <is>
          <t>2025-11-16</t>
        </is>
      </c>
      <c r="C597" s="15" t="inlineStr">
        <is>
          <t>04:45</t>
        </is>
      </c>
      <c r="D597" s="15" t="inlineStr">
        <is>
          <t>Sunday</t>
        </is>
      </c>
      <c r="E597" s="15" t="n">
        <v>595</v>
      </c>
      <c r="F597" s="25" t="n">
        <v>535500</v>
      </c>
      <c r="G597" s="25" t="n">
        <v>148.75</v>
      </c>
      <c r="H597" s="37" t="n">
        <v>0.632</v>
      </c>
      <c r="I597" s="38">
        <f>H597*0.25</f>
        <v/>
      </c>
      <c r="J597" s="35">
        <f>J596+I597</f>
        <v/>
      </c>
      <c r="K597" s="15" t="inlineStr">
        <is>
          <t>Valid (Smart Meter)</t>
        </is>
      </c>
      <c r="L597" s="26" t="inlineStr">
        <is>
          <t>Night baseload / Heating</t>
        </is>
      </c>
    </row>
    <row r="598">
      <c r="A598" s="12" t="inlineStr">
        <is>
          <t>2025-11-16 05:00:00</t>
        </is>
      </c>
      <c r="B598" s="12" t="inlineStr">
        <is>
          <t>2025-11-16</t>
        </is>
      </c>
      <c r="C598" s="12" t="inlineStr">
        <is>
          <t>05:00</t>
        </is>
      </c>
      <c r="D598" s="12" t="inlineStr">
        <is>
          <t>Sunday</t>
        </is>
      </c>
      <c r="E598" s="12" t="n">
        <v>596</v>
      </c>
      <c r="F598" s="27" t="n">
        <v>536400</v>
      </c>
      <c r="G598" s="27" t="n">
        <v>149</v>
      </c>
      <c r="H598" s="39" t="n">
        <v>0.753</v>
      </c>
      <c r="I598" s="40">
        <f>H598*0.25</f>
        <v/>
      </c>
      <c r="J598" s="34">
        <f>J597+I598</f>
        <v/>
      </c>
      <c r="K598" s="12" t="inlineStr">
        <is>
          <t>Valid (Smart Meter)</t>
        </is>
      </c>
      <c r="L598" s="28" t="inlineStr">
        <is>
          <t>Night baseload / Heating</t>
        </is>
      </c>
    </row>
    <row r="599">
      <c r="A599" s="12" t="inlineStr">
        <is>
          <t>2025-11-16 05:15:00</t>
        </is>
      </c>
      <c r="B599" s="12" t="inlineStr">
        <is>
          <t>2025-11-16</t>
        </is>
      </c>
      <c r="C599" s="12" t="inlineStr">
        <is>
          <t>05:15</t>
        </is>
      </c>
      <c r="D599" s="12" t="inlineStr">
        <is>
          <t>Sunday</t>
        </is>
      </c>
      <c r="E599" s="12" t="n">
        <v>597</v>
      </c>
      <c r="F599" s="27" t="n">
        <v>537300</v>
      </c>
      <c r="G599" s="27" t="n">
        <v>149.25</v>
      </c>
      <c r="H599" s="39" t="n">
        <v>0.701</v>
      </c>
      <c r="I599" s="40">
        <f>H599*0.25</f>
        <v/>
      </c>
      <c r="J599" s="34">
        <f>J598+I599</f>
        <v/>
      </c>
      <c r="K599" s="12" t="inlineStr">
        <is>
          <t>Valid (Smart Meter)</t>
        </is>
      </c>
      <c r="L599" s="28" t="inlineStr">
        <is>
          <t>Night baseload / Heating</t>
        </is>
      </c>
    </row>
    <row r="600">
      <c r="A600" s="12" t="inlineStr">
        <is>
          <t>2025-11-16 05:30:00</t>
        </is>
      </c>
      <c r="B600" s="12" t="inlineStr">
        <is>
          <t>2025-11-16</t>
        </is>
      </c>
      <c r="C600" s="12" t="inlineStr">
        <is>
          <t>05:30</t>
        </is>
      </c>
      <c r="D600" s="12" t="inlineStr">
        <is>
          <t>Sunday</t>
        </is>
      </c>
      <c r="E600" s="12" t="n">
        <v>598</v>
      </c>
      <c r="F600" s="27" t="n">
        <v>538200</v>
      </c>
      <c r="G600" s="27" t="n">
        <v>149.5</v>
      </c>
      <c r="H600" s="39" t="n">
        <v>0.666</v>
      </c>
      <c r="I600" s="40">
        <f>H600*0.25</f>
        <v/>
      </c>
      <c r="J600" s="34">
        <f>J599+I600</f>
        <v/>
      </c>
      <c r="K600" s="12" t="inlineStr">
        <is>
          <t>Valid (Smart Meter)</t>
        </is>
      </c>
      <c r="L600" s="28" t="inlineStr">
        <is>
          <t>Night baseload / Heating</t>
        </is>
      </c>
    </row>
    <row r="601">
      <c r="A601" s="12" t="inlineStr">
        <is>
          <t>2025-11-16 05:45:00</t>
        </is>
      </c>
      <c r="B601" s="12" t="inlineStr">
        <is>
          <t>2025-11-16</t>
        </is>
      </c>
      <c r="C601" s="12" t="inlineStr">
        <is>
          <t>05:45</t>
        </is>
      </c>
      <c r="D601" s="12" t="inlineStr">
        <is>
          <t>Sunday</t>
        </is>
      </c>
      <c r="E601" s="12" t="n">
        <v>599</v>
      </c>
      <c r="F601" s="27" t="n">
        <v>539100</v>
      </c>
      <c r="G601" s="27" t="n">
        <v>149.75</v>
      </c>
      <c r="H601" s="39" t="n">
        <v>0.646</v>
      </c>
      <c r="I601" s="40">
        <f>H601*0.25</f>
        <v/>
      </c>
      <c r="J601" s="34">
        <f>J600+I601</f>
        <v/>
      </c>
      <c r="K601" s="12" t="inlineStr">
        <is>
          <t>Valid (Smart Meter)</t>
        </is>
      </c>
      <c r="L601" s="28" t="inlineStr">
        <is>
          <t>Night baseload / Heating</t>
        </is>
      </c>
    </row>
    <row r="602">
      <c r="A602" s="15" t="inlineStr">
        <is>
          <t>2025-11-16 06:00:00</t>
        </is>
      </c>
      <c r="B602" s="15" t="inlineStr">
        <is>
          <t>2025-11-16</t>
        </is>
      </c>
      <c r="C602" s="15" t="inlineStr">
        <is>
          <t>06:00</t>
        </is>
      </c>
      <c r="D602" s="15" t="inlineStr">
        <is>
          <t>Sunday</t>
        </is>
      </c>
      <c r="E602" s="15" t="n">
        <v>600</v>
      </c>
      <c r="F602" s="25" t="n">
        <v>540000</v>
      </c>
      <c r="G602" s="25" t="n">
        <v>150</v>
      </c>
      <c r="H602" s="37" t="n">
        <v>0.646</v>
      </c>
      <c r="I602" s="38">
        <f>H602*0.25</f>
        <v/>
      </c>
      <c r="J602" s="35">
        <f>J601+I602</f>
        <v/>
      </c>
      <c r="K602" s="15" t="inlineStr">
        <is>
          <t>Valid (Smart Meter)</t>
        </is>
      </c>
      <c r="L602" s="26" t="inlineStr">
        <is>
          <t>Night baseload / Heating</t>
        </is>
      </c>
    </row>
    <row r="603">
      <c r="A603" s="15" t="inlineStr">
        <is>
          <t>2025-11-16 06:15:00</t>
        </is>
      </c>
      <c r="B603" s="15" t="inlineStr">
        <is>
          <t>2025-11-16</t>
        </is>
      </c>
      <c r="C603" s="15" t="inlineStr">
        <is>
          <t>06:15</t>
        </is>
      </c>
      <c r="D603" s="15" t="inlineStr">
        <is>
          <t>Sunday</t>
        </is>
      </c>
      <c r="E603" s="15" t="n">
        <v>601</v>
      </c>
      <c r="F603" s="25" t="n">
        <v>540900</v>
      </c>
      <c r="G603" s="25" t="n">
        <v>150.25</v>
      </c>
      <c r="H603" s="37" t="n">
        <v>0.523</v>
      </c>
      <c r="I603" s="38">
        <f>H603*0.25</f>
        <v/>
      </c>
      <c r="J603" s="35">
        <f>J602+I603</f>
        <v/>
      </c>
      <c r="K603" s="15" t="inlineStr">
        <is>
          <t>Valid (Smart Meter)</t>
        </is>
      </c>
      <c r="L603" s="26" t="inlineStr">
        <is>
          <t>Night baseload / Heating</t>
        </is>
      </c>
    </row>
    <row r="604">
      <c r="A604" s="15" t="inlineStr">
        <is>
          <t>2025-11-16 06:30:00</t>
        </is>
      </c>
      <c r="B604" s="15" t="inlineStr">
        <is>
          <t>2025-11-16</t>
        </is>
      </c>
      <c r="C604" s="15" t="inlineStr">
        <is>
          <t>06:30</t>
        </is>
      </c>
      <c r="D604" s="15" t="inlineStr">
        <is>
          <t>Sunday</t>
        </is>
      </c>
      <c r="E604" s="15" t="n">
        <v>602</v>
      </c>
      <c r="F604" s="25" t="n">
        <v>541800</v>
      </c>
      <c r="G604" s="25" t="n">
        <v>150.5</v>
      </c>
      <c r="H604" s="37" t="n">
        <v>0.475</v>
      </c>
      <c r="I604" s="38">
        <f>H604*0.25</f>
        <v/>
      </c>
      <c r="J604" s="35">
        <f>J603+I604</f>
        <v/>
      </c>
      <c r="K604" s="15" t="inlineStr">
        <is>
          <t>Valid (Smart Meter)</t>
        </is>
      </c>
      <c r="L604" s="26" t="inlineStr">
        <is>
          <t>Night baseload / Heating</t>
        </is>
      </c>
    </row>
    <row r="605">
      <c r="A605" s="15" t="inlineStr">
        <is>
          <t>2025-11-16 06:45:00</t>
        </is>
      </c>
      <c r="B605" s="15" t="inlineStr">
        <is>
          <t>2025-11-16</t>
        </is>
      </c>
      <c r="C605" s="15" t="inlineStr">
        <is>
          <t>06:45</t>
        </is>
      </c>
      <c r="D605" s="15" t="inlineStr">
        <is>
          <t>Sunday</t>
        </is>
      </c>
      <c r="E605" s="15" t="n">
        <v>603</v>
      </c>
      <c r="F605" s="25" t="n">
        <v>542700</v>
      </c>
      <c r="G605" s="25" t="n">
        <v>150.75</v>
      </c>
      <c r="H605" s="37" t="n">
        <v>0.509</v>
      </c>
      <c r="I605" s="38">
        <f>H605*0.25</f>
        <v/>
      </c>
      <c r="J605" s="35">
        <f>J604+I605</f>
        <v/>
      </c>
      <c r="K605" s="15" t="inlineStr">
        <is>
          <t>Valid (Smart Meter)</t>
        </is>
      </c>
      <c r="L605" s="26" t="inlineStr">
        <is>
          <t>Night baseload / Heating</t>
        </is>
      </c>
    </row>
    <row r="606">
      <c r="A606" s="12" t="inlineStr">
        <is>
          <t>2025-11-16 07:00:00</t>
        </is>
      </c>
      <c r="B606" s="12" t="inlineStr">
        <is>
          <t>2025-11-16</t>
        </is>
      </c>
      <c r="C606" s="12" t="inlineStr">
        <is>
          <t>07:00</t>
        </is>
      </c>
      <c r="D606" s="12" t="inlineStr">
        <is>
          <t>Sunday</t>
        </is>
      </c>
      <c r="E606" s="12" t="n">
        <v>604</v>
      </c>
      <c r="F606" s="27" t="n">
        <v>543600</v>
      </c>
      <c r="G606" s="27" t="n">
        <v>151</v>
      </c>
      <c r="H606" s="39" t="n">
        <v>0.341</v>
      </c>
      <c r="I606" s="40">
        <f>H606*0.25</f>
        <v/>
      </c>
      <c r="J606" s="34">
        <f>J605+I606</f>
        <v/>
      </c>
      <c r="K606" s="12" t="inlineStr">
        <is>
          <t>Valid (Smart Meter)</t>
        </is>
      </c>
      <c r="L606" s="28" t="inlineStr">
        <is>
          <t>Night baseload / Heating</t>
        </is>
      </c>
    </row>
    <row r="607">
      <c r="A607" s="12" t="inlineStr">
        <is>
          <t>2025-11-16 07:15:00</t>
        </is>
      </c>
      <c r="B607" s="12" t="inlineStr">
        <is>
          <t>2025-11-16</t>
        </is>
      </c>
      <c r="C607" s="12" t="inlineStr">
        <is>
          <t>07:15</t>
        </is>
      </c>
      <c r="D607" s="12" t="inlineStr">
        <is>
          <t>Sunday</t>
        </is>
      </c>
      <c r="E607" s="12" t="n">
        <v>605</v>
      </c>
      <c r="F607" s="27" t="n">
        <v>544500</v>
      </c>
      <c r="G607" s="27" t="n">
        <v>151.25</v>
      </c>
      <c r="H607" s="39" t="n">
        <v>0.364</v>
      </c>
      <c r="I607" s="40">
        <f>H607*0.25</f>
        <v/>
      </c>
      <c r="J607" s="34">
        <f>J606+I607</f>
        <v/>
      </c>
      <c r="K607" s="12" t="inlineStr">
        <is>
          <t>Valid (Smart Meter)</t>
        </is>
      </c>
      <c r="L607" s="28" t="inlineStr">
        <is>
          <t>Night baseload / Heating</t>
        </is>
      </c>
    </row>
    <row r="608">
      <c r="A608" s="12" t="inlineStr">
        <is>
          <t>2025-11-16 07:30:00</t>
        </is>
      </c>
      <c r="B608" s="12" t="inlineStr">
        <is>
          <t>2025-11-16</t>
        </is>
      </c>
      <c r="C608" s="12" t="inlineStr">
        <is>
          <t>07:30</t>
        </is>
      </c>
      <c r="D608" s="12" t="inlineStr">
        <is>
          <t>Sunday</t>
        </is>
      </c>
      <c r="E608" s="12" t="n">
        <v>606</v>
      </c>
      <c r="F608" s="27" t="n">
        <v>545400</v>
      </c>
      <c r="G608" s="27" t="n">
        <v>151.5</v>
      </c>
      <c r="H608" s="39" t="n">
        <v>1.915</v>
      </c>
      <c r="I608" s="40">
        <f>H608*0.25</f>
        <v/>
      </c>
      <c r="J608" s="34">
        <f>J607+I608</f>
        <v/>
      </c>
      <c r="K608" s="12" t="inlineStr">
        <is>
          <t>Valid (Smart Meter)</t>
        </is>
      </c>
      <c r="L608" s="28" t="inlineStr">
        <is>
          <t>Weekend breakfast &amp; morning activities</t>
        </is>
      </c>
    </row>
    <row r="609">
      <c r="A609" s="12" t="inlineStr">
        <is>
          <t>2025-11-16 07:45:00</t>
        </is>
      </c>
      <c r="B609" s="12" t="inlineStr">
        <is>
          <t>2025-11-16</t>
        </is>
      </c>
      <c r="C609" s="12" t="inlineStr">
        <is>
          <t>07:45</t>
        </is>
      </c>
      <c r="D609" s="12" t="inlineStr">
        <is>
          <t>Sunday</t>
        </is>
      </c>
      <c r="E609" s="12" t="n">
        <v>607</v>
      </c>
      <c r="F609" s="27" t="n">
        <v>546300</v>
      </c>
      <c r="G609" s="27" t="n">
        <v>151.75</v>
      </c>
      <c r="H609" s="39" t="n">
        <v>2.005</v>
      </c>
      <c r="I609" s="40">
        <f>H609*0.25</f>
        <v/>
      </c>
      <c r="J609" s="34">
        <f>J608+I609</f>
        <v/>
      </c>
      <c r="K609" s="12" t="inlineStr">
        <is>
          <t>Valid (Smart Meter)</t>
        </is>
      </c>
      <c r="L609" s="28" t="inlineStr">
        <is>
          <t>Weekend breakfast &amp; morning activities</t>
        </is>
      </c>
    </row>
    <row r="610">
      <c r="A610" s="15" t="inlineStr">
        <is>
          <t>2025-11-16 08:00:00</t>
        </is>
      </c>
      <c r="B610" s="15" t="inlineStr">
        <is>
          <t>2025-11-16</t>
        </is>
      </c>
      <c r="C610" s="15" t="inlineStr">
        <is>
          <t>08:00</t>
        </is>
      </c>
      <c r="D610" s="15" t="inlineStr">
        <is>
          <t>Sunday</t>
        </is>
      </c>
      <c r="E610" s="15" t="n">
        <v>608</v>
      </c>
      <c r="F610" s="25" t="n">
        <v>547200</v>
      </c>
      <c r="G610" s="25" t="n">
        <v>152</v>
      </c>
      <c r="H610" s="37" t="n">
        <v>2.135</v>
      </c>
      <c r="I610" s="38">
        <f>H610*0.25</f>
        <v/>
      </c>
      <c r="J610" s="35">
        <f>J609+I610</f>
        <v/>
      </c>
      <c r="K610" s="15" t="inlineStr">
        <is>
          <t>Valid (Smart Meter)</t>
        </is>
      </c>
      <c r="L610" s="26" t="inlineStr">
        <is>
          <t>Weekend breakfast &amp; morning activities</t>
        </is>
      </c>
    </row>
    <row r="611">
      <c r="A611" s="15" t="inlineStr">
        <is>
          <t>2025-11-16 08:15:00</t>
        </is>
      </c>
      <c r="B611" s="15" t="inlineStr">
        <is>
          <t>2025-11-16</t>
        </is>
      </c>
      <c r="C611" s="15" t="inlineStr">
        <is>
          <t>08:15</t>
        </is>
      </c>
      <c r="D611" s="15" t="inlineStr">
        <is>
          <t>Sunday</t>
        </is>
      </c>
      <c r="E611" s="15" t="n">
        <v>609</v>
      </c>
      <c r="F611" s="25" t="n">
        <v>548100</v>
      </c>
      <c r="G611" s="25" t="n">
        <v>152.25</v>
      </c>
      <c r="H611" s="37" t="n">
        <v>1.987</v>
      </c>
      <c r="I611" s="38">
        <f>H611*0.25</f>
        <v/>
      </c>
      <c r="J611" s="35">
        <f>J610+I611</f>
        <v/>
      </c>
      <c r="K611" s="15" t="inlineStr">
        <is>
          <t>Valid (Smart Meter)</t>
        </is>
      </c>
      <c r="L611" s="26" t="inlineStr">
        <is>
          <t>Weekend breakfast &amp; morning activities</t>
        </is>
      </c>
    </row>
    <row r="612">
      <c r="A612" s="15" t="inlineStr">
        <is>
          <t>2025-11-16 08:30:00</t>
        </is>
      </c>
      <c r="B612" s="15" t="inlineStr">
        <is>
          <t>2025-11-16</t>
        </is>
      </c>
      <c r="C612" s="15" t="inlineStr">
        <is>
          <t>08:30</t>
        </is>
      </c>
      <c r="D612" s="15" t="inlineStr">
        <is>
          <t>Sunday</t>
        </is>
      </c>
      <c r="E612" s="15" t="n">
        <v>610</v>
      </c>
      <c r="F612" s="25" t="n">
        <v>549000</v>
      </c>
      <c r="G612" s="25" t="n">
        <v>152.5</v>
      </c>
      <c r="H612" s="37" t="n">
        <v>3.896</v>
      </c>
      <c r="I612" s="38">
        <f>H612*0.25</f>
        <v/>
      </c>
      <c r="J612" s="35">
        <f>J611+I612</f>
        <v/>
      </c>
      <c r="K612" s="15" t="inlineStr">
        <is>
          <t>Valid (Smart Meter)</t>
        </is>
      </c>
      <c r="L612" s="26" t="inlineStr">
        <is>
          <t>Cooking breakfast / Coffee maker</t>
        </is>
      </c>
    </row>
    <row r="613">
      <c r="A613" s="15" t="inlineStr">
        <is>
          <t>2025-11-16 08:45:00</t>
        </is>
      </c>
      <c r="B613" s="15" t="inlineStr">
        <is>
          <t>2025-11-16</t>
        </is>
      </c>
      <c r="C613" s="15" t="inlineStr">
        <is>
          <t>08:45</t>
        </is>
      </c>
      <c r="D613" s="15" t="inlineStr">
        <is>
          <t>Sunday</t>
        </is>
      </c>
      <c r="E613" s="15" t="n">
        <v>611</v>
      </c>
      <c r="F613" s="25" t="n">
        <v>549900</v>
      </c>
      <c r="G613" s="25" t="n">
        <v>152.75</v>
      </c>
      <c r="H613" s="37" t="n">
        <v>4.154</v>
      </c>
      <c r="I613" s="38">
        <f>H613*0.25</f>
        <v/>
      </c>
      <c r="J613" s="35">
        <f>J612+I613</f>
        <v/>
      </c>
      <c r="K613" s="15" t="inlineStr">
        <is>
          <t>Valid (Smart Meter)</t>
        </is>
      </c>
      <c r="L613" s="26" t="inlineStr">
        <is>
          <t>Cooking breakfast / Coffee maker</t>
        </is>
      </c>
    </row>
    <row r="614">
      <c r="A614" s="12" t="inlineStr">
        <is>
          <t>2025-11-16 09:00:00</t>
        </is>
      </c>
      <c r="B614" s="12" t="inlineStr">
        <is>
          <t>2025-11-16</t>
        </is>
      </c>
      <c r="C614" s="12" t="inlineStr">
        <is>
          <t>09:00</t>
        </is>
      </c>
      <c r="D614" s="12" t="inlineStr">
        <is>
          <t>Sunday</t>
        </is>
      </c>
      <c r="E614" s="12" t="n">
        <v>612</v>
      </c>
      <c r="F614" s="27" t="n">
        <v>550800</v>
      </c>
      <c r="G614" s="27" t="n">
        <v>153</v>
      </c>
      <c r="H614" s="39" t="n">
        <v>3.816</v>
      </c>
      <c r="I614" s="40">
        <f>H614*0.25</f>
        <v/>
      </c>
      <c r="J614" s="34">
        <f>J613+I614</f>
        <v/>
      </c>
      <c r="K614" s="12" t="inlineStr">
        <is>
          <t>Valid (Smart Meter)</t>
        </is>
      </c>
      <c r="L614" s="28" t="inlineStr">
        <is>
          <t>Cooking breakfast / Coffee maker</t>
        </is>
      </c>
    </row>
    <row r="615">
      <c r="A615" s="12" t="inlineStr">
        <is>
          <t>2025-11-16 09:15:00</t>
        </is>
      </c>
      <c r="B615" s="12" t="inlineStr">
        <is>
          <t>2025-11-16</t>
        </is>
      </c>
      <c r="C615" s="12" t="inlineStr">
        <is>
          <t>09:15</t>
        </is>
      </c>
      <c r="D615" s="12" t="inlineStr">
        <is>
          <t>Sunday</t>
        </is>
      </c>
      <c r="E615" s="12" t="n">
        <v>613</v>
      </c>
      <c r="F615" s="27" t="n">
        <v>551700</v>
      </c>
      <c r="G615" s="27" t="n">
        <v>153.25</v>
      </c>
      <c r="H615" s="39" t="n">
        <v>4.031</v>
      </c>
      <c r="I615" s="40">
        <f>H615*0.25</f>
        <v/>
      </c>
      <c r="J615" s="34">
        <f>J614+I615</f>
        <v/>
      </c>
      <c r="K615" s="12" t="inlineStr">
        <is>
          <t>Valid (Smart Meter)</t>
        </is>
      </c>
      <c r="L615" s="28" t="inlineStr">
        <is>
          <t>Cooking breakfast / Coffee maker</t>
        </is>
      </c>
    </row>
    <row r="616">
      <c r="A616" s="12" t="inlineStr">
        <is>
          <t>2025-11-16 09:30:00</t>
        </is>
      </c>
      <c r="B616" s="12" t="inlineStr">
        <is>
          <t>2025-11-16</t>
        </is>
      </c>
      <c r="C616" s="12" t="inlineStr">
        <is>
          <t>09:30</t>
        </is>
      </c>
      <c r="D616" s="12" t="inlineStr">
        <is>
          <t>Sunday</t>
        </is>
      </c>
      <c r="E616" s="12" t="n">
        <v>614</v>
      </c>
      <c r="F616" s="27" t="n">
        <v>552600</v>
      </c>
      <c r="G616" s="27" t="n">
        <v>153.5</v>
      </c>
      <c r="H616" s="39" t="n">
        <v>1.812</v>
      </c>
      <c r="I616" s="40">
        <f>H616*0.25</f>
        <v/>
      </c>
      <c r="J616" s="34">
        <f>J615+I616</f>
        <v/>
      </c>
      <c r="K616" s="12" t="inlineStr">
        <is>
          <t>Valid (Smart Meter)</t>
        </is>
      </c>
      <c r="L616" s="28" t="inlineStr">
        <is>
          <t>Weekend breakfast &amp; morning activities</t>
        </is>
      </c>
    </row>
    <row r="617">
      <c r="A617" s="12" t="inlineStr">
        <is>
          <t>2025-11-16 09:45:00</t>
        </is>
      </c>
      <c r="B617" s="12" t="inlineStr">
        <is>
          <t>2025-11-16</t>
        </is>
      </c>
      <c r="C617" s="12" t="inlineStr">
        <is>
          <t>09:45</t>
        </is>
      </c>
      <c r="D617" s="12" t="inlineStr">
        <is>
          <t>Sunday</t>
        </is>
      </c>
      <c r="E617" s="12" t="n">
        <v>615</v>
      </c>
      <c r="F617" s="27" t="n">
        <v>553500</v>
      </c>
      <c r="G617" s="27" t="n">
        <v>153.75</v>
      </c>
      <c r="H617" s="39" t="n">
        <v>1.82</v>
      </c>
      <c r="I617" s="40">
        <f>H617*0.25</f>
        <v/>
      </c>
      <c r="J617" s="34">
        <f>J616+I617</f>
        <v/>
      </c>
      <c r="K617" s="12" t="inlineStr">
        <is>
          <t>Valid (Smart Meter)</t>
        </is>
      </c>
      <c r="L617" s="28" t="inlineStr">
        <is>
          <t>Weekend breakfast &amp; morning activities</t>
        </is>
      </c>
    </row>
    <row r="618">
      <c r="A618" s="15" t="inlineStr">
        <is>
          <t>2025-11-16 10:00:00</t>
        </is>
      </c>
      <c r="B618" s="15" t="inlineStr">
        <is>
          <t>2025-11-16</t>
        </is>
      </c>
      <c r="C618" s="15" t="inlineStr">
        <is>
          <t>10:00</t>
        </is>
      </c>
      <c r="D618" s="15" t="inlineStr">
        <is>
          <t>Sunday</t>
        </is>
      </c>
      <c r="E618" s="15" t="n">
        <v>616</v>
      </c>
      <c r="F618" s="25" t="n">
        <v>554400</v>
      </c>
      <c r="G618" s="25" t="n">
        <v>154</v>
      </c>
      <c r="H618" s="37" t="n">
        <v>2.114</v>
      </c>
      <c r="I618" s="38">
        <f>H618*0.25</f>
        <v/>
      </c>
      <c r="J618" s="35">
        <f>J617+I618</f>
        <v/>
      </c>
      <c r="K618" s="15" t="inlineStr">
        <is>
          <t>Valid (Smart Meter)</t>
        </is>
      </c>
      <c r="L618" s="26" t="inlineStr">
        <is>
          <t>Weekend breakfast &amp; morning activities</t>
        </is>
      </c>
    </row>
    <row r="619">
      <c r="A619" s="15" t="inlineStr">
        <is>
          <t>2025-11-16 10:15:00</t>
        </is>
      </c>
      <c r="B619" s="15" t="inlineStr">
        <is>
          <t>2025-11-16</t>
        </is>
      </c>
      <c r="C619" s="15" t="inlineStr">
        <is>
          <t>10:15</t>
        </is>
      </c>
      <c r="D619" s="15" t="inlineStr">
        <is>
          <t>Sunday</t>
        </is>
      </c>
      <c r="E619" s="15" t="n">
        <v>617</v>
      </c>
      <c r="F619" s="25" t="n">
        <v>555300</v>
      </c>
      <c r="G619" s="25" t="n">
        <v>154.25</v>
      </c>
      <c r="H619" s="37" t="n">
        <v>2.115</v>
      </c>
      <c r="I619" s="38">
        <f>H619*0.25</f>
        <v/>
      </c>
      <c r="J619" s="35">
        <f>J618+I619</f>
        <v/>
      </c>
      <c r="K619" s="15" t="inlineStr">
        <is>
          <t>Valid (Smart Meter)</t>
        </is>
      </c>
      <c r="L619" s="26" t="inlineStr">
        <is>
          <t>Weekend breakfast &amp; morning activities</t>
        </is>
      </c>
    </row>
    <row r="620">
      <c r="A620" s="15" t="inlineStr">
        <is>
          <t>2025-11-16 10:30:00</t>
        </is>
      </c>
      <c r="B620" s="15" t="inlineStr">
        <is>
          <t>2025-11-16</t>
        </is>
      </c>
      <c r="C620" s="15" t="inlineStr">
        <is>
          <t>10:30</t>
        </is>
      </c>
      <c r="D620" s="15" t="inlineStr">
        <is>
          <t>Sunday</t>
        </is>
      </c>
      <c r="E620" s="15" t="n">
        <v>618</v>
      </c>
      <c r="F620" s="25" t="n">
        <v>556200</v>
      </c>
      <c r="G620" s="25" t="n">
        <v>154.5</v>
      </c>
      <c r="H620" s="37" t="n">
        <v>1.988</v>
      </c>
      <c r="I620" s="38">
        <f>H620*0.25</f>
        <v/>
      </c>
      <c r="J620" s="35">
        <f>J619+I620</f>
        <v/>
      </c>
      <c r="K620" s="15" t="inlineStr">
        <is>
          <t>Valid (Smart Meter)</t>
        </is>
      </c>
      <c r="L620" s="26" t="inlineStr">
        <is>
          <t>Weekend breakfast &amp; morning activities</t>
        </is>
      </c>
    </row>
    <row r="621">
      <c r="A621" s="15" t="inlineStr">
        <is>
          <t>2025-11-16 10:45:00</t>
        </is>
      </c>
      <c r="B621" s="15" t="inlineStr">
        <is>
          <t>2025-11-16</t>
        </is>
      </c>
      <c r="C621" s="15" t="inlineStr">
        <is>
          <t>10:45</t>
        </is>
      </c>
      <c r="D621" s="15" t="inlineStr">
        <is>
          <t>Sunday</t>
        </is>
      </c>
      <c r="E621" s="15" t="n">
        <v>619</v>
      </c>
      <c r="F621" s="25" t="n">
        <v>557100</v>
      </c>
      <c r="G621" s="25" t="n">
        <v>154.75</v>
      </c>
      <c r="H621" s="37" t="n">
        <v>1.076</v>
      </c>
      <c r="I621" s="38">
        <f>H621*0.25</f>
        <v/>
      </c>
      <c r="J621" s="35">
        <f>J620+I621</f>
        <v/>
      </c>
      <c r="K621" s="15" t="inlineStr">
        <is>
          <t>Valid (Smart Meter)</t>
        </is>
      </c>
      <c r="L621" s="26" t="inlineStr">
        <is>
          <t>Weekend daytime activity</t>
        </is>
      </c>
    </row>
    <row r="622">
      <c r="A622" s="12" t="inlineStr">
        <is>
          <t>2025-11-16 11:00:00</t>
        </is>
      </c>
      <c r="B622" s="12" t="inlineStr">
        <is>
          <t>2025-11-16</t>
        </is>
      </c>
      <c r="C622" s="12" t="inlineStr">
        <is>
          <t>11:00</t>
        </is>
      </c>
      <c r="D622" s="12" t="inlineStr">
        <is>
          <t>Sunday</t>
        </is>
      </c>
      <c r="E622" s="12" t="n">
        <v>620</v>
      </c>
      <c r="F622" s="27" t="n">
        <v>558000</v>
      </c>
      <c r="G622" s="27" t="n">
        <v>155</v>
      </c>
      <c r="H622" s="39" t="n">
        <v>1.262</v>
      </c>
      <c r="I622" s="40">
        <f>H622*0.25</f>
        <v/>
      </c>
      <c r="J622" s="34">
        <f>J621+I622</f>
        <v/>
      </c>
      <c r="K622" s="12" t="inlineStr">
        <is>
          <t>Valid (Smart Meter)</t>
        </is>
      </c>
      <c r="L622" s="28" t="inlineStr">
        <is>
          <t>Weekend daytime activity</t>
        </is>
      </c>
    </row>
    <row r="623">
      <c r="A623" s="12" t="inlineStr">
        <is>
          <t>2025-11-16 11:15:00</t>
        </is>
      </c>
      <c r="B623" s="12" t="inlineStr">
        <is>
          <t>2025-11-16</t>
        </is>
      </c>
      <c r="C623" s="12" t="inlineStr">
        <is>
          <t>11:15</t>
        </is>
      </c>
      <c r="D623" s="12" t="inlineStr">
        <is>
          <t>Sunday</t>
        </is>
      </c>
      <c r="E623" s="12" t="n">
        <v>621</v>
      </c>
      <c r="F623" s="27" t="n">
        <v>558900</v>
      </c>
      <c r="G623" s="27" t="n">
        <v>155.25</v>
      </c>
      <c r="H623" s="39" t="n">
        <v>1.1</v>
      </c>
      <c r="I623" s="40">
        <f>H623*0.25</f>
        <v/>
      </c>
      <c r="J623" s="34">
        <f>J622+I623</f>
        <v/>
      </c>
      <c r="K623" s="12" t="inlineStr">
        <is>
          <t>Valid (Smart Meter)</t>
        </is>
      </c>
      <c r="L623" s="28" t="inlineStr">
        <is>
          <t>Weekend daytime activity</t>
        </is>
      </c>
    </row>
    <row r="624">
      <c r="A624" s="12" t="inlineStr">
        <is>
          <t>2025-11-16 11:30:00</t>
        </is>
      </c>
      <c r="B624" s="12" t="inlineStr">
        <is>
          <t>2025-11-16</t>
        </is>
      </c>
      <c r="C624" s="12" t="inlineStr">
        <is>
          <t>11:30</t>
        </is>
      </c>
      <c r="D624" s="12" t="inlineStr">
        <is>
          <t>Sunday</t>
        </is>
      </c>
      <c r="E624" s="12" t="n">
        <v>622</v>
      </c>
      <c r="F624" s="27" t="n">
        <v>559800</v>
      </c>
      <c r="G624" s="27" t="n">
        <v>155.5</v>
      </c>
      <c r="H624" s="39" t="n">
        <v>1.097</v>
      </c>
      <c r="I624" s="40">
        <f>H624*0.25</f>
        <v/>
      </c>
      <c r="J624" s="34">
        <f>J623+I624</f>
        <v/>
      </c>
      <c r="K624" s="12" t="inlineStr">
        <is>
          <t>Valid (Smart Meter)</t>
        </is>
      </c>
      <c r="L624" s="28" t="inlineStr">
        <is>
          <t>Weekend daytime activity</t>
        </is>
      </c>
    </row>
    <row r="625">
      <c r="A625" s="12" t="inlineStr">
        <is>
          <t>2025-11-16 11:45:00</t>
        </is>
      </c>
      <c r="B625" s="12" t="inlineStr">
        <is>
          <t>2025-11-16</t>
        </is>
      </c>
      <c r="C625" s="12" t="inlineStr">
        <is>
          <t>11:45</t>
        </is>
      </c>
      <c r="D625" s="12" t="inlineStr">
        <is>
          <t>Sunday</t>
        </is>
      </c>
      <c r="E625" s="12" t="n">
        <v>623</v>
      </c>
      <c r="F625" s="27" t="n">
        <v>560700</v>
      </c>
      <c r="G625" s="27" t="n">
        <v>155.75</v>
      </c>
      <c r="H625" s="39" t="n">
        <v>1.163</v>
      </c>
      <c r="I625" s="40">
        <f>H625*0.25</f>
        <v/>
      </c>
      <c r="J625" s="34">
        <f>J624+I625</f>
        <v/>
      </c>
      <c r="K625" s="12" t="inlineStr">
        <is>
          <t>Valid (Smart Meter)</t>
        </is>
      </c>
      <c r="L625" s="28" t="inlineStr">
        <is>
          <t>Weekend daytime activity</t>
        </is>
      </c>
    </row>
    <row r="626">
      <c r="A626" s="15" t="inlineStr">
        <is>
          <t>2025-11-16 12:00:00</t>
        </is>
      </c>
      <c r="B626" s="15" t="inlineStr">
        <is>
          <t>2025-11-16</t>
        </is>
      </c>
      <c r="C626" s="15" t="inlineStr">
        <is>
          <t>12:00</t>
        </is>
      </c>
      <c r="D626" s="15" t="inlineStr">
        <is>
          <t>Sunday</t>
        </is>
      </c>
      <c r="E626" s="15" t="n">
        <v>624</v>
      </c>
      <c r="F626" s="25" t="n">
        <v>561600</v>
      </c>
      <c r="G626" s="25" t="n">
        <v>156</v>
      </c>
      <c r="H626" s="37" t="n">
        <v>4.06</v>
      </c>
      <c r="I626" s="38">
        <f>H626*0.25</f>
        <v/>
      </c>
      <c r="J626" s="35">
        <f>J625+I626</f>
        <v/>
      </c>
      <c r="K626" s="15" t="inlineStr">
        <is>
          <t>Valid (Smart Meter)</t>
        </is>
      </c>
      <c r="L626" s="26" t="inlineStr">
        <is>
          <t>Sunday family lunch (Oven)</t>
        </is>
      </c>
    </row>
    <row r="627">
      <c r="A627" s="15" t="inlineStr">
        <is>
          <t>2025-11-16 12:15:00</t>
        </is>
      </c>
      <c r="B627" s="15" t="inlineStr">
        <is>
          <t>2025-11-16</t>
        </is>
      </c>
      <c r="C627" s="15" t="inlineStr">
        <is>
          <t>12:15</t>
        </is>
      </c>
      <c r="D627" s="15" t="inlineStr">
        <is>
          <t>Sunday</t>
        </is>
      </c>
      <c r="E627" s="15" t="n">
        <v>625</v>
      </c>
      <c r="F627" s="25" t="n">
        <v>562500</v>
      </c>
      <c r="G627" s="25" t="n">
        <v>156.25</v>
      </c>
      <c r="H627" s="37" t="n">
        <v>4.019</v>
      </c>
      <c r="I627" s="38">
        <f>H627*0.25</f>
        <v/>
      </c>
      <c r="J627" s="35">
        <f>J626+I627</f>
        <v/>
      </c>
      <c r="K627" s="15" t="inlineStr">
        <is>
          <t>Valid (Smart Meter)</t>
        </is>
      </c>
      <c r="L627" s="26" t="inlineStr">
        <is>
          <t>Sunday family lunch (Oven)</t>
        </is>
      </c>
    </row>
    <row r="628">
      <c r="A628" s="15" t="inlineStr">
        <is>
          <t>2025-11-16 12:30:00</t>
        </is>
      </c>
      <c r="B628" s="15" t="inlineStr">
        <is>
          <t>2025-11-16</t>
        </is>
      </c>
      <c r="C628" s="15" t="inlineStr">
        <is>
          <t>12:30</t>
        </is>
      </c>
      <c r="D628" s="15" t="inlineStr">
        <is>
          <t>Sunday</t>
        </is>
      </c>
      <c r="E628" s="15" t="n">
        <v>626</v>
      </c>
      <c r="F628" s="25" t="n">
        <v>563400</v>
      </c>
      <c r="G628" s="25" t="n">
        <v>156.5</v>
      </c>
      <c r="H628" s="37" t="n">
        <v>3.893</v>
      </c>
      <c r="I628" s="38">
        <f>H628*0.25</f>
        <v/>
      </c>
      <c r="J628" s="35">
        <f>J627+I628</f>
        <v/>
      </c>
      <c r="K628" s="15" t="inlineStr">
        <is>
          <t>Valid (Smart Meter)</t>
        </is>
      </c>
      <c r="L628" s="26" t="inlineStr">
        <is>
          <t>Sunday family lunch (Oven)</t>
        </is>
      </c>
    </row>
    <row r="629">
      <c r="A629" s="15" t="inlineStr">
        <is>
          <t>2025-11-16 12:45:00</t>
        </is>
      </c>
      <c r="B629" s="15" t="inlineStr">
        <is>
          <t>2025-11-16</t>
        </is>
      </c>
      <c r="C629" s="15" t="inlineStr">
        <is>
          <t>12:45</t>
        </is>
      </c>
      <c r="D629" s="15" t="inlineStr">
        <is>
          <t>Sunday</t>
        </is>
      </c>
      <c r="E629" s="15" t="n">
        <v>627</v>
      </c>
      <c r="F629" s="25" t="n">
        <v>564300</v>
      </c>
      <c r="G629" s="25" t="n">
        <v>156.75</v>
      </c>
      <c r="H629" s="37" t="n">
        <v>3.775</v>
      </c>
      <c r="I629" s="38">
        <f>H629*0.25</f>
        <v/>
      </c>
      <c r="J629" s="35">
        <f>J628+I629</f>
        <v/>
      </c>
      <c r="K629" s="15" t="inlineStr">
        <is>
          <t>Valid (Smart Meter)</t>
        </is>
      </c>
      <c r="L629" s="26" t="inlineStr">
        <is>
          <t>Sunday family lunch (Oven)</t>
        </is>
      </c>
    </row>
    <row r="630">
      <c r="A630" s="12" t="inlineStr">
        <is>
          <t>2025-11-16 13:00:00</t>
        </is>
      </c>
      <c r="B630" s="12" t="inlineStr">
        <is>
          <t>2025-11-16</t>
        </is>
      </c>
      <c r="C630" s="12" t="inlineStr">
        <is>
          <t>13:00</t>
        </is>
      </c>
      <c r="D630" s="12" t="inlineStr">
        <is>
          <t>Sunday</t>
        </is>
      </c>
      <c r="E630" s="12" t="n">
        <v>628</v>
      </c>
      <c r="F630" s="27" t="n">
        <v>565200</v>
      </c>
      <c r="G630" s="27" t="n">
        <v>157</v>
      </c>
      <c r="H630" s="39" t="n">
        <v>3.63</v>
      </c>
      <c r="I630" s="40">
        <f>H630*0.25</f>
        <v/>
      </c>
      <c r="J630" s="34">
        <f>J629+I630</f>
        <v/>
      </c>
      <c r="K630" s="12" t="inlineStr">
        <is>
          <t>Valid (Smart Meter)</t>
        </is>
      </c>
      <c r="L630" s="28" t="inlineStr">
        <is>
          <t>Sunday family lunch (Oven)</t>
        </is>
      </c>
    </row>
    <row r="631">
      <c r="A631" s="12" t="inlineStr">
        <is>
          <t>2025-11-16 13:15:00</t>
        </is>
      </c>
      <c r="B631" s="12" t="inlineStr">
        <is>
          <t>2025-11-16</t>
        </is>
      </c>
      <c r="C631" s="12" t="inlineStr">
        <is>
          <t>13:15</t>
        </is>
      </c>
      <c r="D631" s="12" t="inlineStr">
        <is>
          <t>Sunday</t>
        </is>
      </c>
      <c r="E631" s="12" t="n">
        <v>629</v>
      </c>
      <c r="F631" s="27" t="n">
        <v>566100</v>
      </c>
      <c r="G631" s="27" t="n">
        <v>157.25</v>
      </c>
      <c r="H631" s="39" t="n">
        <v>1.064</v>
      </c>
      <c r="I631" s="40">
        <f>H631*0.25</f>
        <v/>
      </c>
      <c r="J631" s="34">
        <f>J630+I631</f>
        <v/>
      </c>
      <c r="K631" s="12" t="inlineStr">
        <is>
          <t>Valid (Smart Meter)</t>
        </is>
      </c>
      <c r="L631" s="28" t="inlineStr">
        <is>
          <t>Weekend daytime activity</t>
        </is>
      </c>
    </row>
    <row r="632">
      <c r="A632" s="12" t="inlineStr">
        <is>
          <t>2025-11-16 13:30:00</t>
        </is>
      </c>
      <c r="B632" s="12" t="inlineStr">
        <is>
          <t>2025-11-16</t>
        </is>
      </c>
      <c r="C632" s="12" t="inlineStr">
        <is>
          <t>13:30</t>
        </is>
      </c>
      <c r="D632" s="12" t="inlineStr">
        <is>
          <t>Sunday</t>
        </is>
      </c>
      <c r="E632" s="12" t="n">
        <v>630</v>
      </c>
      <c r="F632" s="27" t="n">
        <v>567000</v>
      </c>
      <c r="G632" s="27" t="n">
        <v>157.5</v>
      </c>
      <c r="H632" s="39" t="n">
        <v>1.239</v>
      </c>
      <c r="I632" s="40">
        <f>H632*0.25</f>
        <v/>
      </c>
      <c r="J632" s="34">
        <f>J631+I632</f>
        <v/>
      </c>
      <c r="K632" s="12" t="inlineStr">
        <is>
          <t>Valid (Smart Meter)</t>
        </is>
      </c>
      <c r="L632" s="28" t="inlineStr">
        <is>
          <t>Weekend daytime activity</t>
        </is>
      </c>
    </row>
    <row r="633">
      <c r="A633" s="12" t="inlineStr">
        <is>
          <t>2025-11-16 13:45:00</t>
        </is>
      </c>
      <c r="B633" s="12" t="inlineStr">
        <is>
          <t>2025-11-16</t>
        </is>
      </c>
      <c r="C633" s="12" t="inlineStr">
        <is>
          <t>13:45</t>
        </is>
      </c>
      <c r="D633" s="12" t="inlineStr">
        <is>
          <t>Sunday</t>
        </is>
      </c>
      <c r="E633" s="12" t="n">
        <v>631</v>
      </c>
      <c r="F633" s="27" t="n">
        <v>567900</v>
      </c>
      <c r="G633" s="27" t="n">
        <v>157.75</v>
      </c>
      <c r="H633" s="39" t="n">
        <v>1.162</v>
      </c>
      <c r="I633" s="40">
        <f>H633*0.25</f>
        <v/>
      </c>
      <c r="J633" s="34">
        <f>J632+I633</f>
        <v/>
      </c>
      <c r="K633" s="12" t="inlineStr">
        <is>
          <t>Valid (Smart Meter)</t>
        </is>
      </c>
      <c r="L633" s="28" t="inlineStr">
        <is>
          <t>Weekend daytime activity</t>
        </is>
      </c>
    </row>
    <row r="634">
      <c r="A634" s="15" t="inlineStr">
        <is>
          <t>2025-11-16 14:00:00</t>
        </is>
      </c>
      <c r="B634" s="15" t="inlineStr">
        <is>
          <t>2025-11-16</t>
        </is>
      </c>
      <c r="C634" s="15" t="inlineStr">
        <is>
          <t>14:00</t>
        </is>
      </c>
      <c r="D634" s="15" t="inlineStr">
        <is>
          <t>Sunday</t>
        </is>
      </c>
      <c r="E634" s="15" t="n">
        <v>632</v>
      </c>
      <c r="F634" s="25" t="n">
        <v>568800</v>
      </c>
      <c r="G634" s="25" t="n">
        <v>158</v>
      </c>
      <c r="H634" s="37" t="n">
        <v>1.172</v>
      </c>
      <c r="I634" s="38">
        <f>H634*0.25</f>
        <v/>
      </c>
      <c r="J634" s="35">
        <f>J633+I634</f>
        <v/>
      </c>
      <c r="K634" s="15" t="inlineStr">
        <is>
          <t>Valid (Smart Meter)</t>
        </is>
      </c>
      <c r="L634" s="26" t="inlineStr">
        <is>
          <t>Weekend daytime activity</t>
        </is>
      </c>
    </row>
    <row r="635">
      <c r="A635" s="15" t="inlineStr">
        <is>
          <t>2025-11-16 14:15:00</t>
        </is>
      </c>
      <c r="B635" s="15" t="inlineStr">
        <is>
          <t>2025-11-16</t>
        </is>
      </c>
      <c r="C635" s="15" t="inlineStr">
        <is>
          <t>14:15</t>
        </is>
      </c>
      <c r="D635" s="15" t="inlineStr">
        <is>
          <t>Sunday</t>
        </is>
      </c>
      <c r="E635" s="15" t="n">
        <v>633</v>
      </c>
      <c r="F635" s="25" t="n">
        <v>569700</v>
      </c>
      <c r="G635" s="25" t="n">
        <v>158.25</v>
      </c>
      <c r="H635" s="37" t="n">
        <v>1.283</v>
      </c>
      <c r="I635" s="38">
        <f>H635*0.25</f>
        <v/>
      </c>
      <c r="J635" s="35">
        <f>J634+I635</f>
        <v/>
      </c>
      <c r="K635" s="15" t="inlineStr">
        <is>
          <t>Valid (Smart Meter)</t>
        </is>
      </c>
      <c r="L635" s="26" t="inlineStr">
        <is>
          <t>Weekend daytime activity</t>
        </is>
      </c>
    </row>
    <row r="636">
      <c r="A636" s="15" t="inlineStr">
        <is>
          <t>2025-11-16 14:30:00</t>
        </is>
      </c>
      <c r="B636" s="15" t="inlineStr">
        <is>
          <t>2025-11-16</t>
        </is>
      </c>
      <c r="C636" s="15" t="inlineStr">
        <is>
          <t>14:30</t>
        </is>
      </c>
      <c r="D636" s="15" t="inlineStr">
        <is>
          <t>Sunday</t>
        </is>
      </c>
      <c r="E636" s="15" t="n">
        <v>634</v>
      </c>
      <c r="F636" s="25" t="n">
        <v>570600</v>
      </c>
      <c r="G636" s="25" t="n">
        <v>158.5</v>
      </c>
      <c r="H636" s="37" t="n">
        <v>1.114</v>
      </c>
      <c r="I636" s="38">
        <f>H636*0.25</f>
        <v/>
      </c>
      <c r="J636" s="35">
        <f>J635+I636</f>
        <v/>
      </c>
      <c r="K636" s="15" t="inlineStr">
        <is>
          <t>Valid (Smart Meter)</t>
        </is>
      </c>
      <c r="L636" s="26" t="inlineStr">
        <is>
          <t>Weekend daytime activity</t>
        </is>
      </c>
    </row>
    <row r="637">
      <c r="A637" s="15" t="inlineStr">
        <is>
          <t>2025-11-16 14:45:00</t>
        </is>
      </c>
      <c r="B637" s="15" t="inlineStr">
        <is>
          <t>2025-11-16</t>
        </is>
      </c>
      <c r="C637" s="15" t="inlineStr">
        <is>
          <t>14:45</t>
        </is>
      </c>
      <c r="D637" s="15" t="inlineStr">
        <is>
          <t>Sunday</t>
        </is>
      </c>
      <c r="E637" s="15" t="n">
        <v>635</v>
      </c>
      <c r="F637" s="25" t="n">
        <v>571500</v>
      </c>
      <c r="G637" s="25" t="n">
        <v>158.75</v>
      </c>
      <c r="H637" s="37" t="n">
        <v>1.275</v>
      </c>
      <c r="I637" s="38">
        <f>H637*0.25</f>
        <v/>
      </c>
      <c r="J637" s="35">
        <f>J636+I637</f>
        <v/>
      </c>
      <c r="K637" s="15" t="inlineStr">
        <is>
          <t>Valid (Smart Meter)</t>
        </is>
      </c>
      <c r="L637" s="26" t="inlineStr">
        <is>
          <t>Weekend daytime activity</t>
        </is>
      </c>
    </row>
    <row r="638">
      <c r="A638" s="12" t="inlineStr">
        <is>
          <t>2025-11-16 15:00:00</t>
        </is>
      </c>
      <c r="B638" s="12" t="inlineStr">
        <is>
          <t>2025-11-16</t>
        </is>
      </c>
      <c r="C638" s="12" t="inlineStr">
        <is>
          <t>15:00</t>
        </is>
      </c>
      <c r="D638" s="12" t="inlineStr">
        <is>
          <t>Sunday</t>
        </is>
      </c>
      <c r="E638" s="12" t="n">
        <v>636</v>
      </c>
      <c r="F638" s="27" t="n">
        <v>572400</v>
      </c>
      <c r="G638" s="27" t="n">
        <v>159</v>
      </c>
      <c r="H638" s="39" t="n">
        <v>1.222</v>
      </c>
      <c r="I638" s="40">
        <f>H638*0.25</f>
        <v/>
      </c>
      <c r="J638" s="34">
        <f>J637+I638</f>
        <v/>
      </c>
      <c r="K638" s="12" t="inlineStr">
        <is>
          <t>Valid (Smart Meter)</t>
        </is>
      </c>
      <c r="L638" s="28" t="inlineStr">
        <is>
          <t>Weekend daytime activity</t>
        </is>
      </c>
    </row>
    <row r="639">
      <c r="A639" s="12" t="inlineStr">
        <is>
          <t>2025-11-16 15:15:00</t>
        </is>
      </c>
      <c r="B639" s="12" t="inlineStr">
        <is>
          <t>2025-11-16</t>
        </is>
      </c>
      <c r="C639" s="12" t="inlineStr">
        <is>
          <t>15:15</t>
        </is>
      </c>
      <c r="D639" s="12" t="inlineStr">
        <is>
          <t>Sunday</t>
        </is>
      </c>
      <c r="E639" s="12" t="n">
        <v>637</v>
      </c>
      <c r="F639" s="27" t="n">
        <v>573300</v>
      </c>
      <c r="G639" s="27" t="n">
        <v>159.25</v>
      </c>
      <c r="H639" s="39" t="n">
        <v>1.28</v>
      </c>
      <c r="I639" s="40">
        <f>H639*0.25</f>
        <v/>
      </c>
      <c r="J639" s="34">
        <f>J638+I639</f>
        <v/>
      </c>
      <c r="K639" s="12" t="inlineStr">
        <is>
          <t>Valid (Smart Meter)</t>
        </is>
      </c>
      <c r="L639" s="28" t="inlineStr">
        <is>
          <t>Weekend daytime activity</t>
        </is>
      </c>
    </row>
    <row r="640">
      <c r="A640" s="12" t="inlineStr">
        <is>
          <t>2025-11-16 15:30:00</t>
        </is>
      </c>
      <c r="B640" s="12" t="inlineStr">
        <is>
          <t>2025-11-16</t>
        </is>
      </c>
      <c r="C640" s="12" t="inlineStr">
        <is>
          <t>15:30</t>
        </is>
      </c>
      <c r="D640" s="12" t="inlineStr">
        <is>
          <t>Sunday</t>
        </is>
      </c>
      <c r="E640" s="12" t="n">
        <v>638</v>
      </c>
      <c r="F640" s="27" t="n">
        <v>574200</v>
      </c>
      <c r="G640" s="27" t="n">
        <v>159.5</v>
      </c>
      <c r="H640" s="39" t="n">
        <v>1.272</v>
      </c>
      <c r="I640" s="40">
        <f>H640*0.25</f>
        <v/>
      </c>
      <c r="J640" s="34">
        <f>J639+I640</f>
        <v/>
      </c>
      <c r="K640" s="12" t="inlineStr">
        <is>
          <t>Valid (Smart Meter)</t>
        </is>
      </c>
      <c r="L640" s="28" t="inlineStr">
        <is>
          <t>Weekend daytime activity</t>
        </is>
      </c>
    </row>
    <row r="641">
      <c r="A641" s="12" t="inlineStr">
        <is>
          <t>2025-11-16 15:45:00</t>
        </is>
      </c>
      <c r="B641" s="12" t="inlineStr">
        <is>
          <t>2025-11-16</t>
        </is>
      </c>
      <c r="C641" s="12" t="inlineStr">
        <is>
          <t>15:45</t>
        </is>
      </c>
      <c r="D641" s="12" t="inlineStr">
        <is>
          <t>Sunday</t>
        </is>
      </c>
      <c r="E641" s="12" t="n">
        <v>639</v>
      </c>
      <c r="F641" s="27" t="n">
        <v>575100</v>
      </c>
      <c r="G641" s="27" t="n">
        <v>159.75</v>
      </c>
      <c r="H641" s="39" t="n">
        <v>1.318</v>
      </c>
      <c r="I641" s="40">
        <f>H641*0.25</f>
        <v/>
      </c>
      <c r="J641" s="34">
        <f>J640+I641</f>
        <v/>
      </c>
      <c r="K641" s="12" t="inlineStr">
        <is>
          <t>Valid (Smart Meter)</t>
        </is>
      </c>
      <c r="L641" s="28" t="inlineStr">
        <is>
          <t>Weekend daytime activity</t>
        </is>
      </c>
    </row>
    <row r="642">
      <c r="A642" s="15" t="inlineStr">
        <is>
          <t>2025-11-16 16:00:00</t>
        </is>
      </c>
      <c r="B642" s="15" t="inlineStr">
        <is>
          <t>2025-11-16</t>
        </is>
      </c>
      <c r="C642" s="15" t="inlineStr">
        <is>
          <t>16:00</t>
        </is>
      </c>
      <c r="D642" s="15" t="inlineStr">
        <is>
          <t>Sunday</t>
        </is>
      </c>
      <c r="E642" s="15" t="n">
        <v>640</v>
      </c>
      <c r="F642" s="25" t="n">
        <v>576000</v>
      </c>
      <c r="G642" s="25" t="n">
        <v>160</v>
      </c>
      <c r="H642" s="37" t="n">
        <v>1.181</v>
      </c>
      <c r="I642" s="38">
        <f>H642*0.25</f>
        <v/>
      </c>
      <c r="J642" s="35">
        <f>J641+I642</f>
        <v/>
      </c>
      <c r="K642" s="15" t="inlineStr">
        <is>
          <t>Valid (Smart Meter)</t>
        </is>
      </c>
      <c r="L642" s="26" t="inlineStr">
        <is>
          <t>Weekend daytime activity</t>
        </is>
      </c>
    </row>
    <row r="643">
      <c r="A643" s="15" t="inlineStr">
        <is>
          <t>2025-11-16 16:15:00</t>
        </is>
      </c>
      <c r="B643" s="15" t="inlineStr">
        <is>
          <t>2025-11-16</t>
        </is>
      </c>
      <c r="C643" s="15" t="inlineStr">
        <is>
          <t>16:15</t>
        </is>
      </c>
      <c r="D643" s="15" t="inlineStr">
        <is>
          <t>Sunday</t>
        </is>
      </c>
      <c r="E643" s="15" t="n">
        <v>641</v>
      </c>
      <c r="F643" s="25" t="n">
        <v>576900</v>
      </c>
      <c r="G643" s="25" t="n">
        <v>160.25</v>
      </c>
      <c r="H643" s="37" t="n">
        <v>1.267</v>
      </c>
      <c r="I643" s="38">
        <f>H643*0.25</f>
        <v/>
      </c>
      <c r="J643" s="35">
        <f>J642+I643</f>
        <v/>
      </c>
      <c r="K643" s="15" t="inlineStr">
        <is>
          <t>Valid (Smart Meter)</t>
        </is>
      </c>
      <c r="L643" s="26" t="inlineStr">
        <is>
          <t>Weekend daytime activity</t>
        </is>
      </c>
    </row>
    <row r="644">
      <c r="A644" s="15" t="inlineStr">
        <is>
          <t>2025-11-16 16:30:00</t>
        </is>
      </c>
      <c r="B644" s="15" t="inlineStr">
        <is>
          <t>2025-11-16</t>
        </is>
      </c>
      <c r="C644" s="15" t="inlineStr">
        <is>
          <t>16:30</t>
        </is>
      </c>
      <c r="D644" s="15" t="inlineStr">
        <is>
          <t>Sunday</t>
        </is>
      </c>
      <c r="E644" s="15" t="n">
        <v>642</v>
      </c>
      <c r="F644" s="25" t="n">
        <v>577800</v>
      </c>
      <c r="G644" s="25" t="n">
        <v>160.5</v>
      </c>
      <c r="H644" s="37" t="n">
        <v>1.229</v>
      </c>
      <c r="I644" s="38">
        <f>H644*0.25</f>
        <v/>
      </c>
      <c r="J644" s="35">
        <f>J643+I644</f>
        <v/>
      </c>
      <c r="K644" s="15" t="inlineStr">
        <is>
          <t>Valid (Smart Meter)</t>
        </is>
      </c>
      <c r="L644" s="26" t="inlineStr">
        <is>
          <t>Weekend daytime activity</t>
        </is>
      </c>
    </row>
    <row r="645">
      <c r="A645" s="15" t="inlineStr">
        <is>
          <t>2025-11-16 16:45:00</t>
        </is>
      </c>
      <c r="B645" s="15" t="inlineStr">
        <is>
          <t>2025-11-16</t>
        </is>
      </c>
      <c r="C645" s="15" t="inlineStr">
        <is>
          <t>16:45</t>
        </is>
      </c>
      <c r="D645" s="15" t="inlineStr">
        <is>
          <t>Sunday</t>
        </is>
      </c>
      <c r="E645" s="15" t="n">
        <v>643</v>
      </c>
      <c r="F645" s="25" t="n">
        <v>578700</v>
      </c>
      <c r="G645" s="25" t="n">
        <v>160.75</v>
      </c>
      <c r="H645" s="37" t="n">
        <v>1.192</v>
      </c>
      <c r="I645" s="38">
        <f>H645*0.25</f>
        <v/>
      </c>
      <c r="J645" s="35">
        <f>J644+I645</f>
        <v/>
      </c>
      <c r="K645" s="15" t="inlineStr">
        <is>
          <t>Valid (Smart Meter)</t>
        </is>
      </c>
      <c r="L645" s="26" t="inlineStr">
        <is>
          <t>Weekend daytime activity</t>
        </is>
      </c>
    </row>
    <row r="646">
      <c r="A646" s="12" t="inlineStr">
        <is>
          <t>2025-11-16 17:00:00</t>
        </is>
      </c>
      <c r="B646" s="12" t="inlineStr">
        <is>
          <t>2025-11-16</t>
        </is>
      </c>
      <c r="C646" s="12" t="inlineStr">
        <is>
          <t>17:00</t>
        </is>
      </c>
      <c r="D646" s="12" t="inlineStr">
        <is>
          <t>Sunday</t>
        </is>
      </c>
      <c r="E646" s="12" t="n">
        <v>644</v>
      </c>
      <c r="F646" s="27" t="n">
        <v>579600</v>
      </c>
      <c r="G646" s="27" t="n">
        <v>161</v>
      </c>
      <c r="H646" s="39" t="n">
        <v>2.179</v>
      </c>
      <c r="I646" s="40">
        <f>H646*0.25</f>
        <v/>
      </c>
      <c r="J646" s="34">
        <f>J645+I646</f>
        <v/>
      </c>
      <c r="K646" s="12" t="inlineStr">
        <is>
          <t>Valid (Smart Meter)</t>
        </is>
      </c>
      <c r="L646" s="28" t="inlineStr">
        <is>
          <t>Weekend evening relaxation / Lighting</t>
        </is>
      </c>
    </row>
    <row r="647">
      <c r="A647" s="12" t="inlineStr">
        <is>
          <t>2025-11-16 17:15:00</t>
        </is>
      </c>
      <c r="B647" s="12" t="inlineStr">
        <is>
          <t>2025-11-16</t>
        </is>
      </c>
      <c r="C647" s="12" t="inlineStr">
        <is>
          <t>17:15</t>
        </is>
      </c>
      <c r="D647" s="12" t="inlineStr">
        <is>
          <t>Sunday</t>
        </is>
      </c>
      <c r="E647" s="12" t="n">
        <v>645</v>
      </c>
      <c r="F647" s="27" t="n">
        <v>580500</v>
      </c>
      <c r="G647" s="27" t="n">
        <v>161.25</v>
      </c>
      <c r="H647" s="39" t="n">
        <v>2.125</v>
      </c>
      <c r="I647" s="40">
        <f>H647*0.25</f>
        <v/>
      </c>
      <c r="J647" s="34">
        <f>J646+I647</f>
        <v/>
      </c>
      <c r="K647" s="12" t="inlineStr">
        <is>
          <t>Valid (Smart Meter)</t>
        </is>
      </c>
      <c r="L647" s="28" t="inlineStr">
        <is>
          <t>Weekend evening relaxation / Lighting</t>
        </is>
      </c>
    </row>
    <row r="648">
      <c r="A648" s="12" t="inlineStr">
        <is>
          <t>2025-11-16 17:30:00</t>
        </is>
      </c>
      <c r="B648" s="12" t="inlineStr">
        <is>
          <t>2025-11-16</t>
        </is>
      </c>
      <c r="C648" s="12" t="inlineStr">
        <is>
          <t>17:30</t>
        </is>
      </c>
      <c r="D648" s="12" t="inlineStr">
        <is>
          <t>Sunday</t>
        </is>
      </c>
      <c r="E648" s="12" t="n">
        <v>646</v>
      </c>
      <c r="F648" s="27" t="n">
        <v>581400</v>
      </c>
      <c r="G648" s="27" t="n">
        <v>161.5</v>
      </c>
      <c r="H648" s="39" t="n">
        <v>2.112</v>
      </c>
      <c r="I648" s="40">
        <f>H648*0.25</f>
        <v/>
      </c>
      <c r="J648" s="34">
        <f>J647+I648</f>
        <v/>
      </c>
      <c r="K648" s="12" t="inlineStr">
        <is>
          <t>Valid (Smart Meter)</t>
        </is>
      </c>
      <c r="L648" s="28" t="inlineStr">
        <is>
          <t>Weekend evening relaxation / Lighting</t>
        </is>
      </c>
    </row>
    <row r="649">
      <c r="A649" s="12" t="inlineStr">
        <is>
          <t>2025-11-16 17:45:00</t>
        </is>
      </c>
      <c r="B649" s="12" t="inlineStr">
        <is>
          <t>2025-11-16</t>
        </is>
      </c>
      <c r="C649" s="12" t="inlineStr">
        <is>
          <t>17:45</t>
        </is>
      </c>
      <c r="D649" s="12" t="inlineStr">
        <is>
          <t>Sunday</t>
        </is>
      </c>
      <c r="E649" s="12" t="n">
        <v>647</v>
      </c>
      <c r="F649" s="27" t="n">
        <v>582300</v>
      </c>
      <c r="G649" s="27" t="n">
        <v>161.75</v>
      </c>
      <c r="H649" s="39" t="n">
        <v>1.986</v>
      </c>
      <c r="I649" s="40">
        <f>H649*0.25</f>
        <v/>
      </c>
      <c r="J649" s="34">
        <f>J648+I649</f>
        <v/>
      </c>
      <c r="K649" s="12" t="inlineStr">
        <is>
          <t>Valid (Smart Meter)</t>
        </is>
      </c>
      <c r="L649" s="28" t="inlineStr">
        <is>
          <t>Weekend evening relaxation / Lighting</t>
        </is>
      </c>
    </row>
    <row r="650">
      <c r="A650" s="15" t="inlineStr">
        <is>
          <t>2025-11-16 18:00:00</t>
        </is>
      </c>
      <c r="B650" s="15" t="inlineStr">
        <is>
          <t>2025-11-16</t>
        </is>
      </c>
      <c r="C650" s="15" t="inlineStr">
        <is>
          <t>18:00</t>
        </is>
      </c>
      <c r="D650" s="15" t="inlineStr">
        <is>
          <t>Sunday</t>
        </is>
      </c>
      <c r="E650" s="15" t="n">
        <v>648</v>
      </c>
      <c r="F650" s="25" t="n">
        <v>583200</v>
      </c>
      <c r="G650" s="25" t="n">
        <v>162</v>
      </c>
      <c r="H650" s="37" t="n">
        <v>2.239</v>
      </c>
      <c r="I650" s="38">
        <f>H650*0.25</f>
        <v/>
      </c>
      <c r="J650" s="35">
        <f>J649+I650</f>
        <v/>
      </c>
      <c r="K650" s="15" t="inlineStr">
        <is>
          <t>Valid (Smart Meter)</t>
        </is>
      </c>
      <c r="L650" s="26" t="inlineStr">
        <is>
          <t>Weekend evening relaxation / Lighting</t>
        </is>
      </c>
    </row>
    <row r="651">
      <c r="A651" s="15" t="inlineStr">
        <is>
          <t>2025-11-16 18:15:00</t>
        </is>
      </c>
      <c r="B651" s="15" t="inlineStr">
        <is>
          <t>2025-11-16</t>
        </is>
      </c>
      <c r="C651" s="15" t="inlineStr">
        <is>
          <t>18:15</t>
        </is>
      </c>
      <c r="D651" s="15" t="inlineStr">
        <is>
          <t>Sunday</t>
        </is>
      </c>
      <c r="E651" s="15" t="n">
        <v>649</v>
      </c>
      <c r="F651" s="25" t="n">
        <v>584100</v>
      </c>
      <c r="G651" s="25" t="n">
        <v>162.25</v>
      </c>
      <c r="H651" s="37" t="n">
        <v>2.418</v>
      </c>
      <c r="I651" s="38">
        <f>H651*0.25</f>
        <v/>
      </c>
      <c r="J651" s="35">
        <f>J650+I651</f>
        <v/>
      </c>
      <c r="K651" s="15" t="inlineStr">
        <is>
          <t>Valid (Smart Meter)</t>
        </is>
      </c>
      <c r="L651" s="26" t="inlineStr">
        <is>
          <t>Weekend evening relaxation / Lighting</t>
        </is>
      </c>
    </row>
    <row r="652">
      <c r="A652" s="15" t="inlineStr">
        <is>
          <t>2025-11-16 18:30:00</t>
        </is>
      </c>
      <c r="B652" s="15" t="inlineStr">
        <is>
          <t>2025-11-16</t>
        </is>
      </c>
      <c r="C652" s="15" t="inlineStr">
        <is>
          <t>18:30</t>
        </is>
      </c>
      <c r="D652" s="15" t="inlineStr">
        <is>
          <t>Sunday</t>
        </is>
      </c>
      <c r="E652" s="15" t="n">
        <v>650</v>
      </c>
      <c r="F652" s="25" t="n">
        <v>585000</v>
      </c>
      <c r="G652" s="25" t="n">
        <v>162.5</v>
      </c>
      <c r="H652" s="37" t="n">
        <v>4.177</v>
      </c>
      <c r="I652" s="38">
        <f>H652*0.25</f>
        <v/>
      </c>
      <c r="J652" s="35">
        <f>J651+I652</f>
        <v/>
      </c>
      <c r="K652" s="15" t="inlineStr">
        <is>
          <t>Valid (Smart Meter)</t>
        </is>
      </c>
      <c r="L652" s="26" t="inlineStr">
        <is>
          <t>Dinner &amp; Entertainment system</t>
        </is>
      </c>
    </row>
    <row r="653">
      <c r="A653" s="15" t="inlineStr">
        <is>
          <t>2025-11-16 18:45:00</t>
        </is>
      </c>
      <c r="B653" s="15" t="inlineStr">
        <is>
          <t>2025-11-16</t>
        </is>
      </c>
      <c r="C653" s="15" t="inlineStr">
        <is>
          <t>18:45</t>
        </is>
      </c>
      <c r="D653" s="15" t="inlineStr">
        <is>
          <t>Sunday</t>
        </is>
      </c>
      <c r="E653" s="15" t="n">
        <v>651</v>
      </c>
      <c r="F653" s="25" t="n">
        <v>585900</v>
      </c>
      <c r="G653" s="25" t="n">
        <v>162.75</v>
      </c>
      <c r="H653" s="37" t="n">
        <v>4.226</v>
      </c>
      <c r="I653" s="38">
        <f>H653*0.25</f>
        <v/>
      </c>
      <c r="J653" s="35">
        <f>J652+I653</f>
        <v/>
      </c>
      <c r="K653" s="15" t="inlineStr">
        <is>
          <t>Valid (Smart Meter)</t>
        </is>
      </c>
      <c r="L653" s="26" t="inlineStr">
        <is>
          <t>Dinner &amp; Entertainment system</t>
        </is>
      </c>
    </row>
    <row r="654">
      <c r="A654" s="12" t="inlineStr">
        <is>
          <t>2025-11-16 19:00:00</t>
        </is>
      </c>
      <c r="B654" s="12" t="inlineStr">
        <is>
          <t>2025-11-16</t>
        </is>
      </c>
      <c r="C654" s="12" t="inlineStr">
        <is>
          <t>19:00</t>
        </is>
      </c>
      <c r="D654" s="12" t="inlineStr">
        <is>
          <t>Sunday</t>
        </is>
      </c>
      <c r="E654" s="12" t="n">
        <v>652</v>
      </c>
      <c r="F654" s="27" t="n">
        <v>586800</v>
      </c>
      <c r="G654" s="27" t="n">
        <v>163</v>
      </c>
      <c r="H654" s="39" t="n">
        <v>4.185</v>
      </c>
      <c r="I654" s="40">
        <f>H654*0.25</f>
        <v/>
      </c>
      <c r="J654" s="34">
        <f>J653+I654</f>
        <v/>
      </c>
      <c r="K654" s="12" t="inlineStr">
        <is>
          <t>Valid (Smart Meter)</t>
        </is>
      </c>
      <c r="L654" s="28" t="inlineStr">
        <is>
          <t>Dinner &amp; Entertainment system</t>
        </is>
      </c>
    </row>
    <row r="655">
      <c r="A655" s="12" t="inlineStr">
        <is>
          <t>2025-11-16 19:15:00</t>
        </is>
      </c>
      <c r="B655" s="12" t="inlineStr">
        <is>
          <t>2025-11-16</t>
        </is>
      </c>
      <c r="C655" s="12" t="inlineStr">
        <is>
          <t>19:15</t>
        </is>
      </c>
      <c r="D655" s="12" t="inlineStr">
        <is>
          <t>Sunday</t>
        </is>
      </c>
      <c r="E655" s="12" t="n">
        <v>653</v>
      </c>
      <c r="F655" s="27" t="n">
        <v>587700</v>
      </c>
      <c r="G655" s="27" t="n">
        <v>163.25</v>
      </c>
      <c r="H655" s="39" t="n">
        <v>4.343</v>
      </c>
      <c r="I655" s="40">
        <f>H655*0.25</f>
        <v/>
      </c>
      <c r="J655" s="34">
        <f>J654+I655</f>
        <v/>
      </c>
      <c r="K655" s="12" t="inlineStr">
        <is>
          <t>Valid (Smart Meter)</t>
        </is>
      </c>
      <c r="L655" s="28" t="inlineStr">
        <is>
          <t>Dinner &amp; Entertainment system</t>
        </is>
      </c>
    </row>
    <row r="656">
      <c r="A656" s="12" t="inlineStr">
        <is>
          <t>2025-11-16 19:30:00</t>
        </is>
      </c>
      <c r="B656" s="12" t="inlineStr">
        <is>
          <t>2025-11-16</t>
        </is>
      </c>
      <c r="C656" s="12" t="inlineStr">
        <is>
          <t>19:30</t>
        </is>
      </c>
      <c r="D656" s="12" t="inlineStr">
        <is>
          <t>Sunday</t>
        </is>
      </c>
      <c r="E656" s="12" t="n">
        <v>654</v>
      </c>
      <c r="F656" s="27" t="n">
        <v>588600</v>
      </c>
      <c r="G656" s="27" t="n">
        <v>163.5</v>
      </c>
      <c r="H656" s="39" t="n">
        <v>4.158</v>
      </c>
      <c r="I656" s="40">
        <f>H656*0.25</f>
        <v/>
      </c>
      <c r="J656" s="34">
        <f>J655+I656</f>
        <v/>
      </c>
      <c r="K656" s="12" t="inlineStr">
        <is>
          <t>Valid (Smart Meter)</t>
        </is>
      </c>
      <c r="L656" s="28" t="inlineStr">
        <is>
          <t>Dinner &amp; Entertainment system</t>
        </is>
      </c>
    </row>
    <row r="657">
      <c r="A657" s="12" t="inlineStr">
        <is>
          <t>2025-11-16 19:45:00</t>
        </is>
      </c>
      <c r="B657" s="12" t="inlineStr">
        <is>
          <t>2025-11-16</t>
        </is>
      </c>
      <c r="C657" s="12" t="inlineStr">
        <is>
          <t>19:45</t>
        </is>
      </c>
      <c r="D657" s="12" t="inlineStr">
        <is>
          <t>Sunday</t>
        </is>
      </c>
      <c r="E657" s="12" t="n">
        <v>655</v>
      </c>
      <c r="F657" s="27" t="n">
        <v>589500</v>
      </c>
      <c r="G657" s="27" t="n">
        <v>163.75</v>
      </c>
      <c r="H657" s="39" t="n">
        <v>4.134</v>
      </c>
      <c r="I657" s="40">
        <f>H657*0.25</f>
        <v/>
      </c>
      <c r="J657" s="34">
        <f>J656+I657</f>
        <v/>
      </c>
      <c r="K657" s="12" t="inlineStr">
        <is>
          <t>Valid (Smart Meter)</t>
        </is>
      </c>
      <c r="L657" s="28" t="inlineStr">
        <is>
          <t>Dinner &amp; Entertainment system</t>
        </is>
      </c>
    </row>
    <row r="658">
      <c r="A658" s="15" t="inlineStr">
        <is>
          <t>2025-11-16 20:00:00</t>
        </is>
      </c>
      <c r="B658" s="15" t="inlineStr">
        <is>
          <t>2025-11-16</t>
        </is>
      </c>
      <c r="C658" s="15" t="inlineStr">
        <is>
          <t>20:00</t>
        </is>
      </c>
      <c r="D658" s="15" t="inlineStr">
        <is>
          <t>Sunday</t>
        </is>
      </c>
      <c r="E658" s="15" t="n">
        <v>656</v>
      </c>
      <c r="F658" s="25" t="n">
        <v>590400</v>
      </c>
      <c r="G658" s="25" t="n">
        <v>164</v>
      </c>
      <c r="H658" s="37" t="n">
        <v>4.178</v>
      </c>
      <c r="I658" s="38">
        <f>H658*0.25</f>
        <v/>
      </c>
      <c r="J658" s="35">
        <f>J657+I658</f>
        <v/>
      </c>
      <c r="K658" s="15" t="inlineStr">
        <is>
          <t>Valid (Smart Meter)</t>
        </is>
      </c>
      <c r="L658" s="26" t="inlineStr">
        <is>
          <t>Dinner &amp; Entertainment system</t>
        </is>
      </c>
    </row>
    <row r="659">
      <c r="A659" s="15" t="inlineStr">
        <is>
          <t>2025-11-16 20:15:00</t>
        </is>
      </c>
      <c r="B659" s="15" t="inlineStr">
        <is>
          <t>2025-11-16</t>
        </is>
      </c>
      <c r="C659" s="15" t="inlineStr">
        <is>
          <t>20:15</t>
        </is>
      </c>
      <c r="D659" s="15" t="inlineStr">
        <is>
          <t>Sunday</t>
        </is>
      </c>
      <c r="E659" s="15" t="n">
        <v>657</v>
      </c>
      <c r="F659" s="25" t="n">
        <v>591300</v>
      </c>
      <c r="G659" s="25" t="n">
        <v>164.25</v>
      </c>
      <c r="H659" s="37" t="n">
        <v>2.139</v>
      </c>
      <c r="I659" s="38">
        <f>H659*0.25</f>
        <v/>
      </c>
      <c r="J659" s="35">
        <f>J658+I659</f>
        <v/>
      </c>
      <c r="K659" s="15" t="inlineStr">
        <is>
          <t>Valid (Smart Meter)</t>
        </is>
      </c>
      <c r="L659" s="26" t="inlineStr">
        <is>
          <t>Weekend evening relaxation / Lighting</t>
        </is>
      </c>
    </row>
    <row r="660">
      <c r="A660" s="15" t="inlineStr">
        <is>
          <t>2025-11-16 20:30:00</t>
        </is>
      </c>
      <c r="B660" s="15" t="inlineStr">
        <is>
          <t>2025-11-16</t>
        </is>
      </c>
      <c r="C660" s="15" t="inlineStr">
        <is>
          <t>20:30</t>
        </is>
      </c>
      <c r="D660" s="15" t="inlineStr">
        <is>
          <t>Sunday</t>
        </is>
      </c>
      <c r="E660" s="15" t="n">
        <v>658</v>
      </c>
      <c r="F660" s="25" t="n">
        <v>592200</v>
      </c>
      <c r="G660" s="25" t="n">
        <v>164.5</v>
      </c>
      <c r="H660" s="37" t="n">
        <v>2.149</v>
      </c>
      <c r="I660" s="38">
        <f>H660*0.25</f>
        <v/>
      </c>
      <c r="J660" s="35">
        <f>J659+I660</f>
        <v/>
      </c>
      <c r="K660" s="15" t="inlineStr">
        <is>
          <t>Valid (Smart Meter)</t>
        </is>
      </c>
      <c r="L660" s="26" t="inlineStr">
        <is>
          <t>Weekend evening relaxation / Lighting</t>
        </is>
      </c>
    </row>
    <row r="661">
      <c r="A661" s="15" t="inlineStr">
        <is>
          <t>2025-11-16 20:45:00</t>
        </is>
      </c>
      <c r="B661" s="15" t="inlineStr">
        <is>
          <t>2025-11-16</t>
        </is>
      </c>
      <c r="C661" s="15" t="inlineStr">
        <is>
          <t>20:45</t>
        </is>
      </c>
      <c r="D661" s="15" t="inlineStr">
        <is>
          <t>Sunday</t>
        </is>
      </c>
      <c r="E661" s="15" t="n">
        <v>659</v>
      </c>
      <c r="F661" s="25" t="n">
        <v>593100</v>
      </c>
      <c r="G661" s="25" t="n">
        <v>164.75</v>
      </c>
      <c r="H661" s="37" t="n">
        <v>2.41</v>
      </c>
      <c r="I661" s="38">
        <f>H661*0.25</f>
        <v/>
      </c>
      <c r="J661" s="35">
        <f>J660+I661</f>
        <v/>
      </c>
      <c r="K661" s="15" t="inlineStr">
        <is>
          <t>Valid (Smart Meter)</t>
        </is>
      </c>
      <c r="L661" s="26" t="inlineStr">
        <is>
          <t>Weekend evening relaxation / Lighting</t>
        </is>
      </c>
    </row>
    <row r="662">
      <c r="A662" s="12" t="inlineStr">
        <is>
          <t>2025-11-16 21:00:00</t>
        </is>
      </c>
      <c r="B662" s="12" t="inlineStr">
        <is>
          <t>2025-11-16</t>
        </is>
      </c>
      <c r="C662" s="12" t="inlineStr">
        <is>
          <t>21:00</t>
        </is>
      </c>
      <c r="D662" s="12" t="inlineStr">
        <is>
          <t>Sunday</t>
        </is>
      </c>
      <c r="E662" s="12" t="n">
        <v>660</v>
      </c>
      <c r="F662" s="27" t="n">
        <v>594000</v>
      </c>
      <c r="G662" s="27" t="n">
        <v>165</v>
      </c>
      <c r="H662" s="39" t="n">
        <v>2.291</v>
      </c>
      <c r="I662" s="40">
        <f>H662*0.25</f>
        <v/>
      </c>
      <c r="J662" s="34">
        <f>J661+I662</f>
        <v/>
      </c>
      <c r="K662" s="12" t="inlineStr">
        <is>
          <t>Valid (Smart Meter)</t>
        </is>
      </c>
      <c r="L662" s="28" t="inlineStr">
        <is>
          <t>Weekend evening relaxation / Lighting</t>
        </is>
      </c>
    </row>
    <row r="663">
      <c r="A663" s="12" t="inlineStr">
        <is>
          <t>2025-11-16 21:15:00</t>
        </is>
      </c>
      <c r="B663" s="12" t="inlineStr">
        <is>
          <t>2025-11-16</t>
        </is>
      </c>
      <c r="C663" s="12" t="inlineStr">
        <is>
          <t>21:15</t>
        </is>
      </c>
      <c r="D663" s="12" t="inlineStr">
        <is>
          <t>Sunday</t>
        </is>
      </c>
      <c r="E663" s="12" t="n">
        <v>661</v>
      </c>
      <c r="F663" s="27" t="n">
        <v>594900</v>
      </c>
      <c r="G663" s="27" t="n">
        <v>165.25</v>
      </c>
      <c r="H663" s="39" t="n">
        <v>2.261</v>
      </c>
      <c r="I663" s="40">
        <f>H663*0.25</f>
        <v/>
      </c>
      <c r="J663" s="34">
        <f>J662+I663</f>
        <v/>
      </c>
      <c r="K663" s="12" t="inlineStr">
        <is>
          <t>Valid (Smart Meter)</t>
        </is>
      </c>
      <c r="L663" s="28" t="inlineStr">
        <is>
          <t>Weekend evening relaxation / Lighting</t>
        </is>
      </c>
    </row>
    <row r="664">
      <c r="A664" s="12" t="inlineStr">
        <is>
          <t>2025-11-16 21:30:00</t>
        </is>
      </c>
      <c r="B664" s="12" t="inlineStr">
        <is>
          <t>2025-11-16</t>
        </is>
      </c>
      <c r="C664" s="12" t="inlineStr">
        <is>
          <t>21:30</t>
        </is>
      </c>
      <c r="D664" s="12" t="inlineStr">
        <is>
          <t>Sunday</t>
        </is>
      </c>
      <c r="E664" s="12" t="n">
        <v>662</v>
      </c>
      <c r="F664" s="27" t="n">
        <v>595800</v>
      </c>
      <c r="G664" s="27" t="n">
        <v>165.5</v>
      </c>
      <c r="H664" s="39" t="n">
        <v>2.374</v>
      </c>
      <c r="I664" s="40">
        <f>H664*0.25</f>
        <v/>
      </c>
      <c r="J664" s="34">
        <f>J663+I664</f>
        <v/>
      </c>
      <c r="K664" s="12" t="inlineStr">
        <is>
          <t>Valid (Smart Meter)</t>
        </is>
      </c>
      <c r="L664" s="28" t="inlineStr">
        <is>
          <t>Weekend evening relaxation / Lighting</t>
        </is>
      </c>
    </row>
    <row r="665">
      <c r="A665" s="12" t="inlineStr">
        <is>
          <t>2025-11-16 21:45:00</t>
        </is>
      </c>
      <c r="B665" s="12" t="inlineStr">
        <is>
          <t>2025-11-16</t>
        </is>
      </c>
      <c r="C665" s="12" t="inlineStr">
        <is>
          <t>21:45</t>
        </is>
      </c>
      <c r="D665" s="12" t="inlineStr">
        <is>
          <t>Sunday</t>
        </is>
      </c>
      <c r="E665" s="12" t="n">
        <v>663</v>
      </c>
      <c r="F665" s="27" t="n">
        <v>596700</v>
      </c>
      <c r="G665" s="27" t="n">
        <v>165.75</v>
      </c>
      <c r="H665" s="39" t="n">
        <v>2.329</v>
      </c>
      <c r="I665" s="40">
        <f>H665*0.25</f>
        <v/>
      </c>
      <c r="J665" s="34">
        <f>J664+I665</f>
        <v/>
      </c>
      <c r="K665" s="12" t="inlineStr">
        <is>
          <t>Valid (Smart Meter)</t>
        </is>
      </c>
      <c r="L665" s="28" t="inlineStr">
        <is>
          <t>Weekend evening relaxation / Lighting</t>
        </is>
      </c>
    </row>
    <row r="666">
      <c r="A666" s="15" t="inlineStr">
        <is>
          <t>2025-11-16 22:00:00</t>
        </is>
      </c>
      <c r="B666" s="15" t="inlineStr">
        <is>
          <t>2025-11-16</t>
        </is>
      </c>
      <c r="C666" s="15" t="inlineStr">
        <is>
          <t>22:00</t>
        </is>
      </c>
      <c r="D666" s="15" t="inlineStr">
        <is>
          <t>Sunday</t>
        </is>
      </c>
      <c r="E666" s="15" t="n">
        <v>664</v>
      </c>
      <c r="F666" s="25" t="n">
        <v>597600</v>
      </c>
      <c r="G666" s="25" t="n">
        <v>166</v>
      </c>
      <c r="H666" s="37" t="n">
        <v>2.183</v>
      </c>
      <c r="I666" s="38">
        <f>H666*0.25</f>
        <v/>
      </c>
      <c r="J666" s="35">
        <f>J665+I666</f>
        <v/>
      </c>
      <c r="K666" s="15" t="inlineStr">
        <is>
          <t>Valid (Smart Meter)</t>
        </is>
      </c>
      <c r="L666" s="26" t="inlineStr">
        <is>
          <t>Weekend evening relaxation / Lighting</t>
        </is>
      </c>
    </row>
    <row r="667">
      <c r="A667" s="15" t="inlineStr">
        <is>
          <t>2025-11-16 22:15:00</t>
        </is>
      </c>
      <c r="B667" s="15" t="inlineStr">
        <is>
          <t>2025-11-16</t>
        </is>
      </c>
      <c r="C667" s="15" t="inlineStr">
        <is>
          <t>22:15</t>
        </is>
      </c>
      <c r="D667" s="15" t="inlineStr">
        <is>
          <t>Sunday</t>
        </is>
      </c>
      <c r="E667" s="15" t="n">
        <v>665</v>
      </c>
      <c r="F667" s="25" t="n">
        <v>598500</v>
      </c>
      <c r="G667" s="25" t="n">
        <v>166.25</v>
      </c>
      <c r="H667" s="37" t="n">
        <v>2.367</v>
      </c>
      <c r="I667" s="38">
        <f>H667*0.25</f>
        <v/>
      </c>
      <c r="J667" s="35">
        <f>J666+I667</f>
        <v/>
      </c>
      <c r="K667" s="15" t="inlineStr">
        <is>
          <t>Valid (Smart Meter)</t>
        </is>
      </c>
      <c r="L667" s="26" t="inlineStr">
        <is>
          <t>Weekend evening relaxation / Lighting</t>
        </is>
      </c>
    </row>
    <row r="668">
      <c r="A668" s="15" t="inlineStr">
        <is>
          <t>2025-11-16 22:30:00</t>
        </is>
      </c>
      <c r="B668" s="15" t="inlineStr">
        <is>
          <t>2025-11-16</t>
        </is>
      </c>
      <c r="C668" s="15" t="inlineStr">
        <is>
          <t>22:30</t>
        </is>
      </c>
      <c r="D668" s="15" t="inlineStr">
        <is>
          <t>Sunday</t>
        </is>
      </c>
      <c r="E668" s="15" t="n">
        <v>666</v>
      </c>
      <c r="F668" s="25" t="n">
        <v>599400</v>
      </c>
      <c r="G668" s="25" t="n">
        <v>166.5</v>
      </c>
      <c r="H668" s="37" t="n">
        <v>2.278</v>
      </c>
      <c r="I668" s="38">
        <f>H668*0.25</f>
        <v/>
      </c>
      <c r="J668" s="35">
        <f>J667+I668</f>
        <v/>
      </c>
      <c r="K668" s="15" t="inlineStr">
        <is>
          <t>Valid (Smart Meter)</t>
        </is>
      </c>
      <c r="L668" s="26" t="inlineStr">
        <is>
          <t>Weekend evening relaxation / Lighting</t>
        </is>
      </c>
    </row>
    <row r="669">
      <c r="A669" s="15" t="inlineStr">
        <is>
          <t>2025-11-16 22:45:00</t>
        </is>
      </c>
      <c r="B669" s="15" t="inlineStr">
        <is>
          <t>2025-11-16</t>
        </is>
      </c>
      <c r="C669" s="15" t="inlineStr">
        <is>
          <t>22:45</t>
        </is>
      </c>
      <c r="D669" s="15" t="inlineStr">
        <is>
          <t>Sunday</t>
        </is>
      </c>
      <c r="E669" s="15" t="n">
        <v>667</v>
      </c>
      <c r="F669" s="25" t="n">
        <v>600300</v>
      </c>
      <c r="G669" s="25" t="n">
        <v>166.75</v>
      </c>
      <c r="H669" s="37" t="n">
        <v>2.23</v>
      </c>
      <c r="I669" s="38">
        <f>H669*0.25</f>
        <v/>
      </c>
      <c r="J669" s="35">
        <f>J668+I669</f>
        <v/>
      </c>
      <c r="K669" s="15" t="inlineStr">
        <is>
          <t>Valid (Smart Meter)</t>
        </is>
      </c>
      <c r="L669" s="26" t="inlineStr">
        <is>
          <t>Weekend evening relaxation / Lighting</t>
        </is>
      </c>
    </row>
    <row r="670">
      <c r="A670" s="12" t="inlineStr">
        <is>
          <t>2025-11-16 23:00:00</t>
        </is>
      </c>
      <c r="B670" s="12" t="inlineStr">
        <is>
          <t>2025-11-16</t>
        </is>
      </c>
      <c r="C670" s="12" t="inlineStr">
        <is>
          <t>23:00</t>
        </is>
      </c>
      <c r="D670" s="12" t="inlineStr">
        <is>
          <t>Sunday</t>
        </is>
      </c>
      <c r="E670" s="12" t="n">
        <v>668</v>
      </c>
      <c r="F670" s="27" t="n">
        <v>601200</v>
      </c>
      <c r="G670" s="27" t="n">
        <v>167</v>
      </c>
      <c r="H670" s="39" t="n">
        <v>2.07</v>
      </c>
      <c r="I670" s="40">
        <f>H670*0.25</f>
        <v/>
      </c>
      <c r="J670" s="34">
        <f>J669+I670</f>
        <v/>
      </c>
      <c r="K670" s="12" t="inlineStr">
        <is>
          <t>Valid (Smart Meter)</t>
        </is>
      </c>
      <c r="L670" s="28" t="inlineStr">
        <is>
          <t>Weekend evening relaxation / Lighting</t>
        </is>
      </c>
    </row>
    <row r="671">
      <c r="A671" s="12" t="inlineStr">
        <is>
          <t>2025-11-16 23:15:00</t>
        </is>
      </c>
      <c r="B671" s="12" t="inlineStr">
        <is>
          <t>2025-11-16</t>
        </is>
      </c>
      <c r="C671" s="12" t="inlineStr">
        <is>
          <t>23:15</t>
        </is>
      </c>
      <c r="D671" s="12" t="inlineStr">
        <is>
          <t>Sunday</t>
        </is>
      </c>
      <c r="E671" s="12" t="n">
        <v>669</v>
      </c>
      <c r="F671" s="27" t="n">
        <v>602100</v>
      </c>
      <c r="G671" s="27" t="n">
        <v>167.25</v>
      </c>
      <c r="H671" s="39" t="n">
        <v>0.596</v>
      </c>
      <c r="I671" s="40">
        <f>H671*0.25</f>
        <v/>
      </c>
      <c r="J671" s="34">
        <f>J670+I671</f>
        <v/>
      </c>
      <c r="K671" s="12" t="inlineStr">
        <is>
          <t>Valid (Smart Meter)</t>
        </is>
      </c>
      <c r="L671" s="28" t="inlineStr">
        <is>
          <t>Night baseload / Heating</t>
        </is>
      </c>
    </row>
    <row r="672">
      <c r="A672" s="12" t="inlineStr">
        <is>
          <t>2025-11-16 23:30:00</t>
        </is>
      </c>
      <c r="B672" s="12" t="inlineStr">
        <is>
          <t>2025-11-16</t>
        </is>
      </c>
      <c r="C672" s="12" t="inlineStr">
        <is>
          <t>23:30</t>
        </is>
      </c>
      <c r="D672" s="12" t="inlineStr">
        <is>
          <t>Sunday</t>
        </is>
      </c>
      <c r="E672" s="12" t="n">
        <v>670</v>
      </c>
      <c r="F672" s="27" t="n">
        <v>603000</v>
      </c>
      <c r="G672" s="27" t="n">
        <v>167.5</v>
      </c>
      <c r="H672" s="39" t="n">
        <v>0.483</v>
      </c>
      <c r="I672" s="40">
        <f>H672*0.25</f>
        <v/>
      </c>
      <c r="J672" s="34">
        <f>J671+I672</f>
        <v/>
      </c>
      <c r="K672" s="12" t="inlineStr">
        <is>
          <t>Valid (Smart Meter)</t>
        </is>
      </c>
      <c r="L672" s="28" t="inlineStr">
        <is>
          <t>Night baseload / Heating</t>
        </is>
      </c>
    </row>
    <row r="673">
      <c r="A673" s="12" t="inlineStr">
        <is>
          <t>2025-11-16 23:45:00</t>
        </is>
      </c>
      <c r="B673" s="12" t="inlineStr">
        <is>
          <t>2025-11-16</t>
        </is>
      </c>
      <c r="C673" s="12" t="inlineStr">
        <is>
          <t>23:45</t>
        </is>
      </c>
      <c r="D673" s="12" t="inlineStr">
        <is>
          <t>Sunday</t>
        </is>
      </c>
      <c r="E673" s="12" t="n">
        <v>671</v>
      </c>
      <c r="F673" s="27" t="n">
        <v>603900</v>
      </c>
      <c r="G673" s="27" t="n">
        <v>167.75</v>
      </c>
      <c r="H673" s="39" t="n">
        <v>0.493</v>
      </c>
      <c r="I673" s="40">
        <f>H673*0.25</f>
        <v/>
      </c>
      <c r="J673" s="34">
        <f>J672+I673</f>
        <v/>
      </c>
      <c r="K673" s="12" t="inlineStr">
        <is>
          <t>Valid (Smart Meter)</t>
        </is>
      </c>
      <c r="L673" s="28" t="inlineStr">
        <is>
          <t>Night baseload / Heating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6" customHeight="1">
      <c r="A1" s="29" t="inlineStr">
        <is>
          <t>Time (Seconds)</t>
        </is>
      </c>
      <c r="B1" s="29" t="inlineStr">
        <is>
          <t>Time (Hours)</t>
        </is>
      </c>
      <c r="C1" s="29" t="inlineStr">
        <is>
          <t>Load Power (kW)</t>
        </is>
      </c>
      <c r="D1" s="29" t="inlineStr">
        <is>
          <t>Load Power (W)</t>
        </is>
      </c>
    </row>
    <row r="2">
      <c r="A2" s="41">
        <f>Load_Profile_15min!F2</f>
        <v/>
      </c>
      <c r="B2" s="41">
        <f>Load_Profile_15min!G2</f>
        <v/>
      </c>
      <c r="C2" s="35">
        <f>Load_Profile_15min!H2</f>
        <v/>
      </c>
      <c r="D2" s="41">
        <f>Load_Profile_15min!H2*1000</f>
        <v/>
      </c>
    </row>
    <row r="3">
      <c r="A3" s="41">
        <f>Load_Profile_15min!F3</f>
        <v/>
      </c>
      <c r="B3" s="41">
        <f>Load_Profile_15min!G3</f>
        <v/>
      </c>
      <c r="C3" s="35">
        <f>Load_Profile_15min!H3</f>
        <v/>
      </c>
      <c r="D3" s="41">
        <f>Load_Profile_15min!H3*1000</f>
        <v/>
      </c>
    </row>
    <row r="4">
      <c r="A4" s="41">
        <f>Load_Profile_15min!F4</f>
        <v/>
      </c>
      <c r="B4" s="41">
        <f>Load_Profile_15min!G4</f>
        <v/>
      </c>
      <c r="C4" s="35">
        <f>Load_Profile_15min!H4</f>
        <v/>
      </c>
      <c r="D4" s="41">
        <f>Load_Profile_15min!H4*1000</f>
        <v/>
      </c>
    </row>
    <row r="5">
      <c r="A5" s="41">
        <f>Load_Profile_15min!F5</f>
        <v/>
      </c>
      <c r="B5" s="41">
        <f>Load_Profile_15min!G5</f>
        <v/>
      </c>
      <c r="C5" s="35">
        <f>Load_Profile_15min!H5</f>
        <v/>
      </c>
      <c r="D5" s="41">
        <f>Load_Profile_15min!H5*1000</f>
        <v/>
      </c>
    </row>
    <row r="6">
      <c r="A6" s="41">
        <f>Load_Profile_15min!F6</f>
        <v/>
      </c>
      <c r="B6" s="41">
        <f>Load_Profile_15min!G6</f>
        <v/>
      </c>
      <c r="C6" s="35">
        <f>Load_Profile_15min!H6</f>
        <v/>
      </c>
      <c r="D6" s="41">
        <f>Load_Profile_15min!H6*1000</f>
        <v/>
      </c>
    </row>
    <row r="7">
      <c r="A7" s="41">
        <f>Load_Profile_15min!F7</f>
        <v/>
      </c>
      <c r="B7" s="41">
        <f>Load_Profile_15min!G7</f>
        <v/>
      </c>
      <c r="C7" s="35">
        <f>Load_Profile_15min!H7</f>
        <v/>
      </c>
      <c r="D7" s="41">
        <f>Load_Profile_15min!H7*1000</f>
        <v/>
      </c>
    </row>
    <row r="8">
      <c r="A8" s="41">
        <f>Load_Profile_15min!F8</f>
        <v/>
      </c>
      <c r="B8" s="41">
        <f>Load_Profile_15min!G8</f>
        <v/>
      </c>
      <c r="C8" s="35">
        <f>Load_Profile_15min!H8</f>
        <v/>
      </c>
      <c r="D8" s="41">
        <f>Load_Profile_15min!H8*1000</f>
        <v/>
      </c>
    </row>
    <row r="9">
      <c r="A9" s="41">
        <f>Load_Profile_15min!F9</f>
        <v/>
      </c>
      <c r="B9" s="41">
        <f>Load_Profile_15min!G9</f>
        <v/>
      </c>
      <c r="C9" s="35">
        <f>Load_Profile_15min!H9</f>
        <v/>
      </c>
      <c r="D9" s="41">
        <f>Load_Profile_15min!H9*1000</f>
        <v/>
      </c>
    </row>
    <row r="10">
      <c r="A10" s="41">
        <f>Load_Profile_15min!F10</f>
        <v/>
      </c>
      <c r="B10" s="41">
        <f>Load_Profile_15min!G10</f>
        <v/>
      </c>
      <c r="C10" s="35">
        <f>Load_Profile_15min!H10</f>
        <v/>
      </c>
      <c r="D10" s="41">
        <f>Load_Profile_15min!H10*1000</f>
        <v/>
      </c>
    </row>
    <row r="11">
      <c r="A11" s="41">
        <f>Load_Profile_15min!F11</f>
        <v/>
      </c>
      <c r="B11" s="41">
        <f>Load_Profile_15min!G11</f>
        <v/>
      </c>
      <c r="C11" s="35">
        <f>Load_Profile_15min!H11</f>
        <v/>
      </c>
      <c r="D11" s="41">
        <f>Load_Profile_15min!H11*1000</f>
        <v/>
      </c>
    </row>
    <row r="12">
      <c r="A12" s="41">
        <f>Load_Profile_15min!F12</f>
        <v/>
      </c>
      <c r="B12" s="41">
        <f>Load_Profile_15min!G12</f>
        <v/>
      </c>
      <c r="C12" s="35">
        <f>Load_Profile_15min!H12</f>
        <v/>
      </c>
      <c r="D12" s="41">
        <f>Load_Profile_15min!H12*1000</f>
        <v/>
      </c>
    </row>
    <row r="13">
      <c r="A13" s="41">
        <f>Load_Profile_15min!F13</f>
        <v/>
      </c>
      <c r="B13" s="41">
        <f>Load_Profile_15min!G13</f>
        <v/>
      </c>
      <c r="C13" s="35">
        <f>Load_Profile_15min!H13</f>
        <v/>
      </c>
      <c r="D13" s="41">
        <f>Load_Profile_15min!H13*1000</f>
        <v/>
      </c>
    </row>
    <row r="14">
      <c r="A14" s="41">
        <f>Load_Profile_15min!F14</f>
        <v/>
      </c>
      <c r="B14" s="41">
        <f>Load_Profile_15min!G14</f>
        <v/>
      </c>
      <c r="C14" s="35">
        <f>Load_Profile_15min!H14</f>
        <v/>
      </c>
      <c r="D14" s="41">
        <f>Load_Profile_15min!H14*1000</f>
        <v/>
      </c>
    </row>
    <row r="15">
      <c r="A15" s="41">
        <f>Load_Profile_15min!F15</f>
        <v/>
      </c>
      <c r="B15" s="41">
        <f>Load_Profile_15min!G15</f>
        <v/>
      </c>
      <c r="C15" s="35">
        <f>Load_Profile_15min!H15</f>
        <v/>
      </c>
      <c r="D15" s="41">
        <f>Load_Profile_15min!H15*1000</f>
        <v/>
      </c>
    </row>
    <row r="16">
      <c r="A16" s="41">
        <f>Load_Profile_15min!F16</f>
        <v/>
      </c>
      <c r="B16" s="41">
        <f>Load_Profile_15min!G16</f>
        <v/>
      </c>
      <c r="C16" s="35">
        <f>Load_Profile_15min!H16</f>
        <v/>
      </c>
      <c r="D16" s="41">
        <f>Load_Profile_15min!H16*1000</f>
        <v/>
      </c>
    </row>
    <row r="17">
      <c r="A17" s="41">
        <f>Load_Profile_15min!F17</f>
        <v/>
      </c>
      <c r="B17" s="41">
        <f>Load_Profile_15min!G17</f>
        <v/>
      </c>
      <c r="C17" s="35">
        <f>Load_Profile_15min!H17</f>
        <v/>
      </c>
      <c r="D17" s="41">
        <f>Load_Profile_15min!H17*1000</f>
        <v/>
      </c>
    </row>
    <row r="18">
      <c r="A18" s="41">
        <f>Load_Profile_15min!F18</f>
        <v/>
      </c>
      <c r="B18" s="41">
        <f>Load_Profile_15min!G18</f>
        <v/>
      </c>
      <c r="C18" s="35">
        <f>Load_Profile_15min!H18</f>
        <v/>
      </c>
      <c r="D18" s="41">
        <f>Load_Profile_15min!H18*1000</f>
        <v/>
      </c>
    </row>
    <row r="19">
      <c r="A19" s="41">
        <f>Load_Profile_15min!F19</f>
        <v/>
      </c>
      <c r="B19" s="41">
        <f>Load_Profile_15min!G19</f>
        <v/>
      </c>
      <c r="C19" s="35">
        <f>Load_Profile_15min!H19</f>
        <v/>
      </c>
      <c r="D19" s="41">
        <f>Load_Profile_15min!H19*1000</f>
        <v/>
      </c>
    </row>
    <row r="20">
      <c r="A20" s="41">
        <f>Load_Profile_15min!F20</f>
        <v/>
      </c>
      <c r="B20" s="41">
        <f>Load_Profile_15min!G20</f>
        <v/>
      </c>
      <c r="C20" s="35">
        <f>Load_Profile_15min!H20</f>
        <v/>
      </c>
      <c r="D20" s="41">
        <f>Load_Profile_15min!H20*1000</f>
        <v/>
      </c>
    </row>
    <row r="21">
      <c r="A21" s="41">
        <f>Load_Profile_15min!F21</f>
        <v/>
      </c>
      <c r="B21" s="41">
        <f>Load_Profile_15min!G21</f>
        <v/>
      </c>
      <c r="C21" s="35">
        <f>Load_Profile_15min!H21</f>
        <v/>
      </c>
      <c r="D21" s="41">
        <f>Load_Profile_15min!H21*1000</f>
        <v/>
      </c>
    </row>
    <row r="22">
      <c r="A22" s="41">
        <f>Load_Profile_15min!F22</f>
        <v/>
      </c>
      <c r="B22" s="41">
        <f>Load_Profile_15min!G22</f>
        <v/>
      </c>
      <c r="C22" s="35">
        <f>Load_Profile_15min!H22</f>
        <v/>
      </c>
      <c r="D22" s="41">
        <f>Load_Profile_15min!H22*1000</f>
        <v/>
      </c>
    </row>
    <row r="23">
      <c r="A23" s="41">
        <f>Load_Profile_15min!F23</f>
        <v/>
      </c>
      <c r="B23" s="41">
        <f>Load_Profile_15min!G23</f>
        <v/>
      </c>
      <c r="C23" s="35">
        <f>Load_Profile_15min!H23</f>
        <v/>
      </c>
      <c r="D23" s="41">
        <f>Load_Profile_15min!H23*1000</f>
        <v/>
      </c>
    </row>
    <row r="24">
      <c r="A24" s="41">
        <f>Load_Profile_15min!F24</f>
        <v/>
      </c>
      <c r="B24" s="41">
        <f>Load_Profile_15min!G24</f>
        <v/>
      </c>
      <c r="C24" s="35">
        <f>Load_Profile_15min!H24</f>
        <v/>
      </c>
      <c r="D24" s="41">
        <f>Load_Profile_15min!H24*1000</f>
        <v/>
      </c>
    </row>
    <row r="25">
      <c r="A25" s="41">
        <f>Load_Profile_15min!F25</f>
        <v/>
      </c>
      <c r="B25" s="41">
        <f>Load_Profile_15min!G25</f>
        <v/>
      </c>
      <c r="C25" s="35">
        <f>Load_Profile_15min!H25</f>
        <v/>
      </c>
      <c r="D25" s="41">
        <f>Load_Profile_15min!H25*1000</f>
        <v/>
      </c>
    </row>
    <row r="26">
      <c r="A26" s="41">
        <f>Load_Profile_15min!F26</f>
        <v/>
      </c>
      <c r="B26" s="41">
        <f>Load_Profile_15min!G26</f>
        <v/>
      </c>
      <c r="C26" s="35">
        <f>Load_Profile_15min!H26</f>
        <v/>
      </c>
      <c r="D26" s="41">
        <f>Load_Profile_15min!H26*1000</f>
        <v/>
      </c>
    </row>
    <row r="27">
      <c r="A27" s="41">
        <f>Load_Profile_15min!F27</f>
        <v/>
      </c>
      <c r="B27" s="41">
        <f>Load_Profile_15min!G27</f>
        <v/>
      </c>
      <c r="C27" s="35">
        <f>Load_Profile_15min!H27</f>
        <v/>
      </c>
      <c r="D27" s="41">
        <f>Load_Profile_15min!H27*1000</f>
        <v/>
      </c>
    </row>
    <row r="28">
      <c r="A28" s="41">
        <f>Load_Profile_15min!F28</f>
        <v/>
      </c>
      <c r="B28" s="41">
        <f>Load_Profile_15min!G28</f>
        <v/>
      </c>
      <c r="C28" s="35">
        <f>Load_Profile_15min!H28</f>
        <v/>
      </c>
      <c r="D28" s="41">
        <f>Load_Profile_15min!H28*1000</f>
        <v/>
      </c>
    </row>
    <row r="29">
      <c r="A29" s="41">
        <f>Load_Profile_15min!F29</f>
        <v/>
      </c>
      <c r="B29" s="41">
        <f>Load_Profile_15min!G29</f>
        <v/>
      </c>
      <c r="C29" s="35">
        <f>Load_Profile_15min!H29</f>
        <v/>
      </c>
      <c r="D29" s="41">
        <f>Load_Profile_15min!H29*1000</f>
        <v/>
      </c>
    </row>
    <row r="30">
      <c r="A30" s="41">
        <f>Load_Profile_15min!F30</f>
        <v/>
      </c>
      <c r="B30" s="41">
        <f>Load_Profile_15min!G30</f>
        <v/>
      </c>
      <c r="C30" s="35">
        <f>Load_Profile_15min!H30</f>
        <v/>
      </c>
      <c r="D30" s="41">
        <f>Load_Profile_15min!H30*1000</f>
        <v/>
      </c>
    </row>
    <row r="31">
      <c r="A31" s="41">
        <f>Load_Profile_15min!F31</f>
        <v/>
      </c>
      <c r="B31" s="41">
        <f>Load_Profile_15min!G31</f>
        <v/>
      </c>
      <c r="C31" s="35">
        <f>Load_Profile_15min!H31</f>
        <v/>
      </c>
      <c r="D31" s="41">
        <f>Load_Profile_15min!H31*1000</f>
        <v/>
      </c>
    </row>
    <row r="32">
      <c r="A32" s="41">
        <f>Load_Profile_15min!F32</f>
        <v/>
      </c>
      <c r="B32" s="41">
        <f>Load_Profile_15min!G32</f>
        <v/>
      </c>
      <c r="C32" s="35">
        <f>Load_Profile_15min!H32</f>
        <v/>
      </c>
      <c r="D32" s="41">
        <f>Load_Profile_15min!H32*1000</f>
        <v/>
      </c>
    </row>
    <row r="33">
      <c r="A33" s="41">
        <f>Load_Profile_15min!F33</f>
        <v/>
      </c>
      <c r="B33" s="41">
        <f>Load_Profile_15min!G33</f>
        <v/>
      </c>
      <c r="C33" s="35">
        <f>Load_Profile_15min!H33</f>
        <v/>
      </c>
      <c r="D33" s="41">
        <f>Load_Profile_15min!H33*1000</f>
        <v/>
      </c>
    </row>
    <row r="34">
      <c r="A34" s="41">
        <f>Load_Profile_15min!F34</f>
        <v/>
      </c>
      <c r="B34" s="41">
        <f>Load_Profile_15min!G34</f>
        <v/>
      </c>
      <c r="C34" s="35">
        <f>Load_Profile_15min!H34</f>
        <v/>
      </c>
      <c r="D34" s="41">
        <f>Load_Profile_15min!H34*1000</f>
        <v/>
      </c>
    </row>
    <row r="35">
      <c r="A35" s="41">
        <f>Load_Profile_15min!F35</f>
        <v/>
      </c>
      <c r="B35" s="41">
        <f>Load_Profile_15min!G35</f>
        <v/>
      </c>
      <c r="C35" s="35">
        <f>Load_Profile_15min!H35</f>
        <v/>
      </c>
      <c r="D35" s="41">
        <f>Load_Profile_15min!H35*1000</f>
        <v/>
      </c>
    </row>
    <row r="36">
      <c r="A36" s="41">
        <f>Load_Profile_15min!F36</f>
        <v/>
      </c>
      <c r="B36" s="41">
        <f>Load_Profile_15min!G36</f>
        <v/>
      </c>
      <c r="C36" s="35">
        <f>Load_Profile_15min!H36</f>
        <v/>
      </c>
      <c r="D36" s="41">
        <f>Load_Profile_15min!H36*1000</f>
        <v/>
      </c>
    </row>
    <row r="37">
      <c r="A37" s="41">
        <f>Load_Profile_15min!F37</f>
        <v/>
      </c>
      <c r="B37" s="41">
        <f>Load_Profile_15min!G37</f>
        <v/>
      </c>
      <c r="C37" s="35">
        <f>Load_Profile_15min!H37</f>
        <v/>
      </c>
      <c r="D37" s="41">
        <f>Load_Profile_15min!H37*1000</f>
        <v/>
      </c>
    </row>
    <row r="38">
      <c r="A38" s="41">
        <f>Load_Profile_15min!F38</f>
        <v/>
      </c>
      <c r="B38" s="41">
        <f>Load_Profile_15min!G38</f>
        <v/>
      </c>
      <c r="C38" s="35">
        <f>Load_Profile_15min!H38</f>
        <v/>
      </c>
      <c r="D38" s="41">
        <f>Load_Profile_15min!H38*1000</f>
        <v/>
      </c>
    </row>
    <row r="39">
      <c r="A39" s="41">
        <f>Load_Profile_15min!F39</f>
        <v/>
      </c>
      <c r="B39" s="41">
        <f>Load_Profile_15min!G39</f>
        <v/>
      </c>
      <c r="C39" s="35">
        <f>Load_Profile_15min!H39</f>
        <v/>
      </c>
      <c r="D39" s="41">
        <f>Load_Profile_15min!H39*1000</f>
        <v/>
      </c>
    </row>
    <row r="40">
      <c r="A40" s="41">
        <f>Load_Profile_15min!F40</f>
        <v/>
      </c>
      <c r="B40" s="41">
        <f>Load_Profile_15min!G40</f>
        <v/>
      </c>
      <c r="C40" s="35">
        <f>Load_Profile_15min!H40</f>
        <v/>
      </c>
      <c r="D40" s="41">
        <f>Load_Profile_15min!H40*1000</f>
        <v/>
      </c>
    </row>
    <row r="41">
      <c r="A41" s="41">
        <f>Load_Profile_15min!F41</f>
        <v/>
      </c>
      <c r="B41" s="41">
        <f>Load_Profile_15min!G41</f>
        <v/>
      </c>
      <c r="C41" s="35">
        <f>Load_Profile_15min!H41</f>
        <v/>
      </c>
      <c r="D41" s="41">
        <f>Load_Profile_15min!H41*1000</f>
        <v/>
      </c>
    </row>
    <row r="42">
      <c r="A42" s="41">
        <f>Load_Profile_15min!F42</f>
        <v/>
      </c>
      <c r="B42" s="41">
        <f>Load_Profile_15min!G42</f>
        <v/>
      </c>
      <c r="C42" s="35">
        <f>Load_Profile_15min!H42</f>
        <v/>
      </c>
      <c r="D42" s="41">
        <f>Load_Profile_15min!H42*1000</f>
        <v/>
      </c>
    </row>
    <row r="43">
      <c r="A43" s="41">
        <f>Load_Profile_15min!F43</f>
        <v/>
      </c>
      <c r="B43" s="41">
        <f>Load_Profile_15min!G43</f>
        <v/>
      </c>
      <c r="C43" s="35">
        <f>Load_Profile_15min!H43</f>
        <v/>
      </c>
      <c r="D43" s="41">
        <f>Load_Profile_15min!H43*1000</f>
        <v/>
      </c>
    </row>
    <row r="44">
      <c r="A44" s="41">
        <f>Load_Profile_15min!F44</f>
        <v/>
      </c>
      <c r="B44" s="41">
        <f>Load_Profile_15min!G44</f>
        <v/>
      </c>
      <c r="C44" s="35">
        <f>Load_Profile_15min!H44</f>
        <v/>
      </c>
      <c r="D44" s="41">
        <f>Load_Profile_15min!H44*1000</f>
        <v/>
      </c>
    </row>
    <row r="45">
      <c r="A45" s="41">
        <f>Load_Profile_15min!F45</f>
        <v/>
      </c>
      <c r="B45" s="41">
        <f>Load_Profile_15min!G45</f>
        <v/>
      </c>
      <c r="C45" s="35">
        <f>Load_Profile_15min!H45</f>
        <v/>
      </c>
      <c r="D45" s="41">
        <f>Load_Profile_15min!H45*1000</f>
        <v/>
      </c>
    </row>
    <row r="46">
      <c r="A46" s="41">
        <f>Load_Profile_15min!F46</f>
        <v/>
      </c>
      <c r="B46" s="41">
        <f>Load_Profile_15min!G46</f>
        <v/>
      </c>
      <c r="C46" s="35">
        <f>Load_Profile_15min!H46</f>
        <v/>
      </c>
      <c r="D46" s="41">
        <f>Load_Profile_15min!H46*1000</f>
        <v/>
      </c>
    </row>
    <row r="47">
      <c r="A47" s="41">
        <f>Load_Profile_15min!F47</f>
        <v/>
      </c>
      <c r="B47" s="41">
        <f>Load_Profile_15min!G47</f>
        <v/>
      </c>
      <c r="C47" s="35">
        <f>Load_Profile_15min!H47</f>
        <v/>
      </c>
      <c r="D47" s="41">
        <f>Load_Profile_15min!H47*1000</f>
        <v/>
      </c>
    </row>
    <row r="48">
      <c r="A48" s="41">
        <f>Load_Profile_15min!F48</f>
        <v/>
      </c>
      <c r="B48" s="41">
        <f>Load_Profile_15min!G48</f>
        <v/>
      </c>
      <c r="C48" s="35">
        <f>Load_Profile_15min!H48</f>
        <v/>
      </c>
      <c r="D48" s="41">
        <f>Load_Profile_15min!H48*1000</f>
        <v/>
      </c>
    </row>
    <row r="49">
      <c r="A49" s="41">
        <f>Load_Profile_15min!F49</f>
        <v/>
      </c>
      <c r="B49" s="41">
        <f>Load_Profile_15min!G49</f>
        <v/>
      </c>
      <c r="C49" s="35">
        <f>Load_Profile_15min!H49</f>
        <v/>
      </c>
      <c r="D49" s="41">
        <f>Load_Profile_15min!H49*1000</f>
        <v/>
      </c>
    </row>
    <row r="50">
      <c r="A50" s="41">
        <f>Load_Profile_15min!F50</f>
        <v/>
      </c>
      <c r="B50" s="41">
        <f>Load_Profile_15min!G50</f>
        <v/>
      </c>
      <c r="C50" s="35">
        <f>Load_Profile_15min!H50</f>
        <v/>
      </c>
      <c r="D50" s="41">
        <f>Load_Profile_15min!H50*1000</f>
        <v/>
      </c>
    </row>
    <row r="51">
      <c r="A51" s="41">
        <f>Load_Profile_15min!F51</f>
        <v/>
      </c>
      <c r="B51" s="41">
        <f>Load_Profile_15min!G51</f>
        <v/>
      </c>
      <c r="C51" s="35">
        <f>Load_Profile_15min!H51</f>
        <v/>
      </c>
      <c r="D51" s="41">
        <f>Load_Profile_15min!H51*1000</f>
        <v/>
      </c>
    </row>
    <row r="52">
      <c r="A52" s="41">
        <f>Load_Profile_15min!F52</f>
        <v/>
      </c>
      <c r="B52" s="41">
        <f>Load_Profile_15min!G52</f>
        <v/>
      </c>
      <c r="C52" s="35">
        <f>Load_Profile_15min!H52</f>
        <v/>
      </c>
      <c r="D52" s="41">
        <f>Load_Profile_15min!H52*1000</f>
        <v/>
      </c>
    </row>
    <row r="53">
      <c r="A53" s="41">
        <f>Load_Profile_15min!F53</f>
        <v/>
      </c>
      <c r="B53" s="41">
        <f>Load_Profile_15min!G53</f>
        <v/>
      </c>
      <c r="C53" s="35">
        <f>Load_Profile_15min!H53</f>
        <v/>
      </c>
      <c r="D53" s="41">
        <f>Load_Profile_15min!H53*1000</f>
        <v/>
      </c>
    </row>
    <row r="54">
      <c r="A54" s="41">
        <f>Load_Profile_15min!F54</f>
        <v/>
      </c>
      <c r="B54" s="41">
        <f>Load_Profile_15min!G54</f>
        <v/>
      </c>
      <c r="C54" s="35">
        <f>Load_Profile_15min!H54</f>
        <v/>
      </c>
      <c r="D54" s="41">
        <f>Load_Profile_15min!H54*1000</f>
        <v/>
      </c>
    </row>
    <row r="55">
      <c r="A55" s="41">
        <f>Load_Profile_15min!F55</f>
        <v/>
      </c>
      <c r="B55" s="41">
        <f>Load_Profile_15min!G55</f>
        <v/>
      </c>
      <c r="C55" s="35">
        <f>Load_Profile_15min!H55</f>
        <v/>
      </c>
      <c r="D55" s="41">
        <f>Load_Profile_15min!H55*1000</f>
        <v/>
      </c>
    </row>
    <row r="56">
      <c r="A56" s="41">
        <f>Load_Profile_15min!F56</f>
        <v/>
      </c>
      <c r="B56" s="41">
        <f>Load_Profile_15min!G56</f>
        <v/>
      </c>
      <c r="C56" s="35">
        <f>Load_Profile_15min!H56</f>
        <v/>
      </c>
      <c r="D56" s="41">
        <f>Load_Profile_15min!H56*1000</f>
        <v/>
      </c>
    </row>
    <row r="57">
      <c r="A57" s="41">
        <f>Load_Profile_15min!F57</f>
        <v/>
      </c>
      <c r="B57" s="41">
        <f>Load_Profile_15min!G57</f>
        <v/>
      </c>
      <c r="C57" s="35">
        <f>Load_Profile_15min!H57</f>
        <v/>
      </c>
      <c r="D57" s="41">
        <f>Load_Profile_15min!H57*1000</f>
        <v/>
      </c>
    </row>
    <row r="58">
      <c r="A58" s="41">
        <f>Load_Profile_15min!F58</f>
        <v/>
      </c>
      <c r="B58" s="41">
        <f>Load_Profile_15min!G58</f>
        <v/>
      </c>
      <c r="C58" s="35">
        <f>Load_Profile_15min!H58</f>
        <v/>
      </c>
      <c r="D58" s="41">
        <f>Load_Profile_15min!H58*1000</f>
        <v/>
      </c>
    </row>
    <row r="59">
      <c r="A59" s="41">
        <f>Load_Profile_15min!F59</f>
        <v/>
      </c>
      <c r="B59" s="41">
        <f>Load_Profile_15min!G59</f>
        <v/>
      </c>
      <c r="C59" s="35">
        <f>Load_Profile_15min!H59</f>
        <v/>
      </c>
      <c r="D59" s="41">
        <f>Load_Profile_15min!H59*1000</f>
        <v/>
      </c>
    </row>
    <row r="60">
      <c r="A60" s="41">
        <f>Load_Profile_15min!F60</f>
        <v/>
      </c>
      <c r="B60" s="41">
        <f>Load_Profile_15min!G60</f>
        <v/>
      </c>
      <c r="C60" s="35">
        <f>Load_Profile_15min!H60</f>
        <v/>
      </c>
      <c r="D60" s="41">
        <f>Load_Profile_15min!H60*1000</f>
        <v/>
      </c>
    </row>
    <row r="61">
      <c r="A61" s="41">
        <f>Load_Profile_15min!F61</f>
        <v/>
      </c>
      <c r="B61" s="41">
        <f>Load_Profile_15min!G61</f>
        <v/>
      </c>
      <c r="C61" s="35">
        <f>Load_Profile_15min!H61</f>
        <v/>
      </c>
      <c r="D61" s="41">
        <f>Load_Profile_15min!H61*1000</f>
        <v/>
      </c>
    </row>
    <row r="62">
      <c r="A62" s="41">
        <f>Load_Profile_15min!F62</f>
        <v/>
      </c>
      <c r="B62" s="41">
        <f>Load_Profile_15min!G62</f>
        <v/>
      </c>
      <c r="C62" s="35">
        <f>Load_Profile_15min!H62</f>
        <v/>
      </c>
      <c r="D62" s="41">
        <f>Load_Profile_15min!H62*1000</f>
        <v/>
      </c>
    </row>
    <row r="63">
      <c r="A63" s="41">
        <f>Load_Profile_15min!F63</f>
        <v/>
      </c>
      <c r="B63" s="41">
        <f>Load_Profile_15min!G63</f>
        <v/>
      </c>
      <c r="C63" s="35">
        <f>Load_Profile_15min!H63</f>
        <v/>
      </c>
      <c r="D63" s="41">
        <f>Load_Profile_15min!H63*1000</f>
        <v/>
      </c>
    </row>
    <row r="64">
      <c r="A64" s="41">
        <f>Load_Profile_15min!F64</f>
        <v/>
      </c>
      <c r="B64" s="41">
        <f>Load_Profile_15min!G64</f>
        <v/>
      </c>
      <c r="C64" s="35">
        <f>Load_Profile_15min!H64</f>
        <v/>
      </c>
      <c r="D64" s="41">
        <f>Load_Profile_15min!H64*1000</f>
        <v/>
      </c>
    </row>
    <row r="65">
      <c r="A65" s="41">
        <f>Load_Profile_15min!F65</f>
        <v/>
      </c>
      <c r="B65" s="41">
        <f>Load_Profile_15min!G65</f>
        <v/>
      </c>
      <c r="C65" s="35">
        <f>Load_Profile_15min!H65</f>
        <v/>
      </c>
      <c r="D65" s="41">
        <f>Load_Profile_15min!H65*1000</f>
        <v/>
      </c>
    </row>
    <row r="66">
      <c r="A66" s="41">
        <f>Load_Profile_15min!F66</f>
        <v/>
      </c>
      <c r="B66" s="41">
        <f>Load_Profile_15min!G66</f>
        <v/>
      </c>
      <c r="C66" s="35">
        <f>Load_Profile_15min!H66</f>
        <v/>
      </c>
      <c r="D66" s="41">
        <f>Load_Profile_15min!H66*1000</f>
        <v/>
      </c>
    </row>
    <row r="67">
      <c r="A67" s="41">
        <f>Load_Profile_15min!F67</f>
        <v/>
      </c>
      <c r="B67" s="41">
        <f>Load_Profile_15min!G67</f>
        <v/>
      </c>
      <c r="C67" s="35">
        <f>Load_Profile_15min!H67</f>
        <v/>
      </c>
      <c r="D67" s="41">
        <f>Load_Profile_15min!H67*1000</f>
        <v/>
      </c>
    </row>
    <row r="68">
      <c r="A68" s="41">
        <f>Load_Profile_15min!F68</f>
        <v/>
      </c>
      <c r="B68" s="41">
        <f>Load_Profile_15min!G68</f>
        <v/>
      </c>
      <c r="C68" s="35">
        <f>Load_Profile_15min!H68</f>
        <v/>
      </c>
      <c r="D68" s="41">
        <f>Load_Profile_15min!H68*1000</f>
        <v/>
      </c>
    </row>
    <row r="69">
      <c r="A69" s="41">
        <f>Load_Profile_15min!F69</f>
        <v/>
      </c>
      <c r="B69" s="41">
        <f>Load_Profile_15min!G69</f>
        <v/>
      </c>
      <c r="C69" s="35">
        <f>Load_Profile_15min!H69</f>
        <v/>
      </c>
      <c r="D69" s="41">
        <f>Load_Profile_15min!H69*1000</f>
        <v/>
      </c>
    </row>
    <row r="70">
      <c r="A70" s="41">
        <f>Load_Profile_15min!F70</f>
        <v/>
      </c>
      <c r="B70" s="41">
        <f>Load_Profile_15min!G70</f>
        <v/>
      </c>
      <c r="C70" s="35">
        <f>Load_Profile_15min!H70</f>
        <v/>
      </c>
      <c r="D70" s="41">
        <f>Load_Profile_15min!H70*1000</f>
        <v/>
      </c>
    </row>
    <row r="71">
      <c r="A71" s="41">
        <f>Load_Profile_15min!F71</f>
        <v/>
      </c>
      <c r="B71" s="41">
        <f>Load_Profile_15min!G71</f>
        <v/>
      </c>
      <c r="C71" s="35">
        <f>Load_Profile_15min!H71</f>
        <v/>
      </c>
      <c r="D71" s="41">
        <f>Load_Profile_15min!H71*1000</f>
        <v/>
      </c>
    </row>
    <row r="72">
      <c r="A72" s="41">
        <f>Load_Profile_15min!F72</f>
        <v/>
      </c>
      <c r="B72" s="41">
        <f>Load_Profile_15min!G72</f>
        <v/>
      </c>
      <c r="C72" s="35">
        <f>Load_Profile_15min!H72</f>
        <v/>
      </c>
      <c r="D72" s="41">
        <f>Load_Profile_15min!H72*1000</f>
        <v/>
      </c>
    </row>
    <row r="73">
      <c r="A73" s="41">
        <f>Load_Profile_15min!F73</f>
        <v/>
      </c>
      <c r="B73" s="41">
        <f>Load_Profile_15min!G73</f>
        <v/>
      </c>
      <c r="C73" s="35">
        <f>Load_Profile_15min!H73</f>
        <v/>
      </c>
      <c r="D73" s="41">
        <f>Load_Profile_15min!H73*1000</f>
        <v/>
      </c>
    </row>
    <row r="74">
      <c r="A74" s="41">
        <f>Load_Profile_15min!F74</f>
        <v/>
      </c>
      <c r="B74" s="41">
        <f>Load_Profile_15min!G74</f>
        <v/>
      </c>
      <c r="C74" s="35">
        <f>Load_Profile_15min!H74</f>
        <v/>
      </c>
      <c r="D74" s="41">
        <f>Load_Profile_15min!H74*1000</f>
        <v/>
      </c>
    </row>
    <row r="75">
      <c r="A75" s="41">
        <f>Load_Profile_15min!F75</f>
        <v/>
      </c>
      <c r="B75" s="41">
        <f>Load_Profile_15min!G75</f>
        <v/>
      </c>
      <c r="C75" s="35">
        <f>Load_Profile_15min!H75</f>
        <v/>
      </c>
      <c r="D75" s="41">
        <f>Load_Profile_15min!H75*1000</f>
        <v/>
      </c>
    </row>
    <row r="76">
      <c r="A76" s="41">
        <f>Load_Profile_15min!F76</f>
        <v/>
      </c>
      <c r="B76" s="41">
        <f>Load_Profile_15min!G76</f>
        <v/>
      </c>
      <c r="C76" s="35">
        <f>Load_Profile_15min!H76</f>
        <v/>
      </c>
      <c r="D76" s="41">
        <f>Load_Profile_15min!H76*1000</f>
        <v/>
      </c>
    </row>
    <row r="77">
      <c r="A77" s="41">
        <f>Load_Profile_15min!F77</f>
        <v/>
      </c>
      <c r="B77" s="41">
        <f>Load_Profile_15min!G77</f>
        <v/>
      </c>
      <c r="C77" s="35">
        <f>Load_Profile_15min!H77</f>
        <v/>
      </c>
      <c r="D77" s="41">
        <f>Load_Profile_15min!H77*1000</f>
        <v/>
      </c>
    </row>
    <row r="78">
      <c r="A78" s="41">
        <f>Load_Profile_15min!F78</f>
        <v/>
      </c>
      <c r="B78" s="41">
        <f>Load_Profile_15min!G78</f>
        <v/>
      </c>
      <c r="C78" s="35">
        <f>Load_Profile_15min!H78</f>
        <v/>
      </c>
      <c r="D78" s="41">
        <f>Load_Profile_15min!H78*1000</f>
        <v/>
      </c>
    </row>
    <row r="79">
      <c r="A79" s="41">
        <f>Load_Profile_15min!F79</f>
        <v/>
      </c>
      <c r="B79" s="41">
        <f>Load_Profile_15min!G79</f>
        <v/>
      </c>
      <c r="C79" s="35">
        <f>Load_Profile_15min!H79</f>
        <v/>
      </c>
      <c r="D79" s="41">
        <f>Load_Profile_15min!H79*1000</f>
        <v/>
      </c>
    </row>
    <row r="80">
      <c r="A80" s="41">
        <f>Load_Profile_15min!F80</f>
        <v/>
      </c>
      <c r="B80" s="41">
        <f>Load_Profile_15min!G80</f>
        <v/>
      </c>
      <c r="C80" s="35">
        <f>Load_Profile_15min!H80</f>
        <v/>
      </c>
      <c r="D80" s="41">
        <f>Load_Profile_15min!H80*1000</f>
        <v/>
      </c>
    </row>
    <row r="81">
      <c r="A81" s="41">
        <f>Load_Profile_15min!F81</f>
        <v/>
      </c>
      <c r="B81" s="41">
        <f>Load_Profile_15min!G81</f>
        <v/>
      </c>
      <c r="C81" s="35">
        <f>Load_Profile_15min!H81</f>
        <v/>
      </c>
      <c r="D81" s="41">
        <f>Load_Profile_15min!H81*1000</f>
        <v/>
      </c>
    </row>
    <row r="82">
      <c r="A82" s="41">
        <f>Load_Profile_15min!F82</f>
        <v/>
      </c>
      <c r="B82" s="41">
        <f>Load_Profile_15min!G82</f>
        <v/>
      </c>
      <c r="C82" s="35">
        <f>Load_Profile_15min!H82</f>
        <v/>
      </c>
      <c r="D82" s="41">
        <f>Load_Profile_15min!H82*1000</f>
        <v/>
      </c>
    </row>
    <row r="83">
      <c r="A83" s="41">
        <f>Load_Profile_15min!F83</f>
        <v/>
      </c>
      <c r="B83" s="41">
        <f>Load_Profile_15min!G83</f>
        <v/>
      </c>
      <c r="C83" s="35">
        <f>Load_Profile_15min!H83</f>
        <v/>
      </c>
      <c r="D83" s="41">
        <f>Load_Profile_15min!H83*1000</f>
        <v/>
      </c>
    </row>
    <row r="84">
      <c r="A84" s="41">
        <f>Load_Profile_15min!F84</f>
        <v/>
      </c>
      <c r="B84" s="41">
        <f>Load_Profile_15min!G84</f>
        <v/>
      </c>
      <c r="C84" s="35">
        <f>Load_Profile_15min!H84</f>
        <v/>
      </c>
      <c r="D84" s="41">
        <f>Load_Profile_15min!H84*1000</f>
        <v/>
      </c>
    </row>
    <row r="85">
      <c r="A85" s="41">
        <f>Load_Profile_15min!F85</f>
        <v/>
      </c>
      <c r="B85" s="41">
        <f>Load_Profile_15min!G85</f>
        <v/>
      </c>
      <c r="C85" s="35">
        <f>Load_Profile_15min!H85</f>
        <v/>
      </c>
      <c r="D85" s="41">
        <f>Load_Profile_15min!H85*1000</f>
        <v/>
      </c>
    </row>
    <row r="86">
      <c r="A86" s="41">
        <f>Load_Profile_15min!F86</f>
        <v/>
      </c>
      <c r="B86" s="41">
        <f>Load_Profile_15min!G86</f>
        <v/>
      </c>
      <c r="C86" s="35">
        <f>Load_Profile_15min!H86</f>
        <v/>
      </c>
      <c r="D86" s="41">
        <f>Load_Profile_15min!H86*1000</f>
        <v/>
      </c>
    </row>
    <row r="87">
      <c r="A87" s="41">
        <f>Load_Profile_15min!F87</f>
        <v/>
      </c>
      <c r="B87" s="41">
        <f>Load_Profile_15min!G87</f>
        <v/>
      </c>
      <c r="C87" s="35">
        <f>Load_Profile_15min!H87</f>
        <v/>
      </c>
      <c r="D87" s="41">
        <f>Load_Profile_15min!H87*1000</f>
        <v/>
      </c>
    </row>
    <row r="88">
      <c r="A88" s="41">
        <f>Load_Profile_15min!F88</f>
        <v/>
      </c>
      <c r="B88" s="41">
        <f>Load_Profile_15min!G88</f>
        <v/>
      </c>
      <c r="C88" s="35">
        <f>Load_Profile_15min!H88</f>
        <v/>
      </c>
      <c r="D88" s="41">
        <f>Load_Profile_15min!H88*1000</f>
        <v/>
      </c>
    </row>
    <row r="89">
      <c r="A89" s="41">
        <f>Load_Profile_15min!F89</f>
        <v/>
      </c>
      <c r="B89" s="41">
        <f>Load_Profile_15min!G89</f>
        <v/>
      </c>
      <c r="C89" s="35">
        <f>Load_Profile_15min!H89</f>
        <v/>
      </c>
      <c r="D89" s="41">
        <f>Load_Profile_15min!H89*1000</f>
        <v/>
      </c>
    </row>
    <row r="90">
      <c r="A90" s="41">
        <f>Load_Profile_15min!F90</f>
        <v/>
      </c>
      <c r="B90" s="41">
        <f>Load_Profile_15min!G90</f>
        <v/>
      </c>
      <c r="C90" s="35">
        <f>Load_Profile_15min!H90</f>
        <v/>
      </c>
      <c r="D90" s="41">
        <f>Load_Profile_15min!H90*1000</f>
        <v/>
      </c>
    </row>
    <row r="91">
      <c r="A91" s="41">
        <f>Load_Profile_15min!F91</f>
        <v/>
      </c>
      <c r="B91" s="41">
        <f>Load_Profile_15min!G91</f>
        <v/>
      </c>
      <c r="C91" s="35">
        <f>Load_Profile_15min!H91</f>
        <v/>
      </c>
      <c r="D91" s="41">
        <f>Load_Profile_15min!H91*1000</f>
        <v/>
      </c>
    </row>
    <row r="92">
      <c r="A92" s="41">
        <f>Load_Profile_15min!F92</f>
        <v/>
      </c>
      <c r="B92" s="41">
        <f>Load_Profile_15min!G92</f>
        <v/>
      </c>
      <c r="C92" s="35">
        <f>Load_Profile_15min!H92</f>
        <v/>
      </c>
      <c r="D92" s="41">
        <f>Load_Profile_15min!H92*1000</f>
        <v/>
      </c>
    </row>
    <row r="93">
      <c r="A93" s="41">
        <f>Load_Profile_15min!F93</f>
        <v/>
      </c>
      <c r="B93" s="41">
        <f>Load_Profile_15min!G93</f>
        <v/>
      </c>
      <c r="C93" s="35">
        <f>Load_Profile_15min!H93</f>
        <v/>
      </c>
      <c r="D93" s="41">
        <f>Load_Profile_15min!H93*1000</f>
        <v/>
      </c>
    </row>
    <row r="94">
      <c r="A94" s="41">
        <f>Load_Profile_15min!F94</f>
        <v/>
      </c>
      <c r="B94" s="41">
        <f>Load_Profile_15min!G94</f>
        <v/>
      </c>
      <c r="C94" s="35">
        <f>Load_Profile_15min!H94</f>
        <v/>
      </c>
      <c r="D94" s="41">
        <f>Load_Profile_15min!H94*1000</f>
        <v/>
      </c>
    </row>
    <row r="95">
      <c r="A95" s="41">
        <f>Load_Profile_15min!F95</f>
        <v/>
      </c>
      <c r="B95" s="41">
        <f>Load_Profile_15min!G95</f>
        <v/>
      </c>
      <c r="C95" s="35">
        <f>Load_Profile_15min!H95</f>
        <v/>
      </c>
      <c r="D95" s="41">
        <f>Load_Profile_15min!H95*1000</f>
        <v/>
      </c>
    </row>
    <row r="96">
      <c r="A96" s="41">
        <f>Load_Profile_15min!F96</f>
        <v/>
      </c>
      <c r="B96" s="41">
        <f>Load_Profile_15min!G96</f>
        <v/>
      </c>
      <c r="C96" s="35">
        <f>Load_Profile_15min!H96</f>
        <v/>
      </c>
      <c r="D96" s="41">
        <f>Load_Profile_15min!H96*1000</f>
        <v/>
      </c>
    </row>
    <row r="97">
      <c r="A97" s="41">
        <f>Load_Profile_15min!F97</f>
        <v/>
      </c>
      <c r="B97" s="41">
        <f>Load_Profile_15min!G97</f>
        <v/>
      </c>
      <c r="C97" s="35">
        <f>Load_Profile_15min!H97</f>
        <v/>
      </c>
      <c r="D97" s="41">
        <f>Load_Profile_15min!H97*1000</f>
        <v/>
      </c>
    </row>
    <row r="98">
      <c r="A98" s="41">
        <f>Load_Profile_15min!F98</f>
        <v/>
      </c>
      <c r="B98" s="41">
        <f>Load_Profile_15min!G98</f>
        <v/>
      </c>
      <c r="C98" s="35">
        <f>Load_Profile_15min!H98</f>
        <v/>
      </c>
      <c r="D98" s="41">
        <f>Load_Profile_15min!H98*1000</f>
        <v/>
      </c>
    </row>
    <row r="99">
      <c r="A99" s="41">
        <f>Load_Profile_15min!F99</f>
        <v/>
      </c>
      <c r="B99" s="41">
        <f>Load_Profile_15min!G99</f>
        <v/>
      </c>
      <c r="C99" s="35">
        <f>Load_Profile_15min!H99</f>
        <v/>
      </c>
      <c r="D99" s="41">
        <f>Load_Profile_15min!H99*1000</f>
        <v/>
      </c>
    </row>
    <row r="100">
      <c r="A100" s="41">
        <f>Load_Profile_15min!F100</f>
        <v/>
      </c>
      <c r="B100" s="41">
        <f>Load_Profile_15min!G100</f>
        <v/>
      </c>
      <c r="C100" s="35">
        <f>Load_Profile_15min!H100</f>
        <v/>
      </c>
      <c r="D100" s="41">
        <f>Load_Profile_15min!H100*1000</f>
        <v/>
      </c>
    </row>
    <row r="101">
      <c r="A101" s="41">
        <f>Load_Profile_15min!F101</f>
        <v/>
      </c>
      <c r="B101" s="41">
        <f>Load_Profile_15min!G101</f>
        <v/>
      </c>
      <c r="C101" s="35">
        <f>Load_Profile_15min!H101</f>
        <v/>
      </c>
      <c r="D101" s="41">
        <f>Load_Profile_15min!H101*1000</f>
        <v/>
      </c>
    </row>
    <row r="102">
      <c r="A102" s="41">
        <f>Load_Profile_15min!F102</f>
        <v/>
      </c>
      <c r="B102" s="41">
        <f>Load_Profile_15min!G102</f>
        <v/>
      </c>
      <c r="C102" s="35">
        <f>Load_Profile_15min!H102</f>
        <v/>
      </c>
      <c r="D102" s="41">
        <f>Load_Profile_15min!H102*1000</f>
        <v/>
      </c>
    </row>
    <row r="103">
      <c r="A103" s="41">
        <f>Load_Profile_15min!F103</f>
        <v/>
      </c>
      <c r="B103" s="41">
        <f>Load_Profile_15min!G103</f>
        <v/>
      </c>
      <c r="C103" s="35">
        <f>Load_Profile_15min!H103</f>
        <v/>
      </c>
      <c r="D103" s="41">
        <f>Load_Profile_15min!H103*1000</f>
        <v/>
      </c>
    </row>
    <row r="104">
      <c r="A104" s="41">
        <f>Load_Profile_15min!F104</f>
        <v/>
      </c>
      <c r="B104" s="41">
        <f>Load_Profile_15min!G104</f>
        <v/>
      </c>
      <c r="C104" s="35">
        <f>Load_Profile_15min!H104</f>
        <v/>
      </c>
      <c r="D104" s="41">
        <f>Load_Profile_15min!H104*1000</f>
        <v/>
      </c>
    </row>
    <row r="105">
      <c r="A105" s="41">
        <f>Load_Profile_15min!F105</f>
        <v/>
      </c>
      <c r="B105" s="41">
        <f>Load_Profile_15min!G105</f>
        <v/>
      </c>
      <c r="C105" s="35">
        <f>Load_Profile_15min!H105</f>
        <v/>
      </c>
      <c r="D105" s="41">
        <f>Load_Profile_15min!H105*1000</f>
        <v/>
      </c>
    </row>
    <row r="106">
      <c r="A106" s="41">
        <f>Load_Profile_15min!F106</f>
        <v/>
      </c>
      <c r="B106" s="41">
        <f>Load_Profile_15min!G106</f>
        <v/>
      </c>
      <c r="C106" s="35">
        <f>Load_Profile_15min!H106</f>
        <v/>
      </c>
      <c r="D106" s="41">
        <f>Load_Profile_15min!H106*1000</f>
        <v/>
      </c>
    </row>
    <row r="107">
      <c r="A107" s="41">
        <f>Load_Profile_15min!F107</f>
        <v/>
      </c>
      <c r="B107" s="41">
        <f>Load_Profile_15min!G107</f>
        <v/>
      </c>
      <c r="C107" s="35">
        <f>Load_Profile_15min!H107</f>
        <v/>
      </c>
      <c r="D107" s="41">
        <f>Load_Profile_15min!H107*1000</f>
        <v/>
      </c>
    </row>
    <row r="108">
      <c r="A108" s="41">
        <f>Load_Profile_15min!F108</f>
        <v/>
      </c>
      <c r="B108" s="41">
        <f>Load_Profile_15min!G108</f>
        <v/>
      </c>
      <c r="C108" s="35">
        <f>Load_Profile_15min!H108</f>
        <v/>
      </c>
      <c r="D108" s="41">
        <f>Load_Profile_15min!H108*1000</f>
        <v/>
      </c>
    </row>
    <row r="109">
      <c r="A109" s="41">
        <f>Load_Profile_15min!F109</f>
        <v/>
      </c>
      <c r="B109" s="41">
        <f>Load_Profile_15min!G109</f>
        <v/>
      </c>
      <c r="C109" s="35">
        <f>Load_Profile_15min!H109</f>
        <v/>
      </c>
      <c r="D109" s="41">
        <f>Load_Profile_15min!H109*1000</f>
        <v/>
      </c>
    </row>
    <row r="110">
      <c r="A110" s="41">
        <f>Load_Profile_15min!F110</f>
        <v/>
      </c>
      <c r="B110" s="41">
        <f>Load_Profile_15min!G110</f>
        <v/>
      </c>
      <c r="C110" s="35">
        <f>Load_Profile_15min!H110</f>
        <v/>
      </c>
      <c r="D110" s="41">
        <f>Load_Profile_15min!H110*1000</f>
        <v/>
      </c>
    </row>
    <row r="111">
      <c r="A111" s="41">
        <f>Load_Profile_15min!F111</f>
        <v/>
      </c>
      <c r="B111" s="41">
        <f>Load_Profile_15min!G111</f>
        <v/>
      </c>
      <c r="C111" s="35">
        <f>Load_Profile_15min!H111</f>
        <v/>
      </c>
      <c r="D111" s="41">
        <f>Load_Profile_15min!H111*1000</f>
        <v/>
      </c>
    </row>
    <row r="112">
      <c r="A112" s="41">
        <f>Load_Profile_15min!F112</f>
        <v/>
      </c>
      <c r="B112" s="41">
        <f>Load_Profile_15min!G112</f>
        <v/>
      </c>
      <c r="C112" s="35">
        <f>Load_Profile_15min!H112</f>
        <v/>
      </c>
      <c r="D112" s="41">
        <f>Load_Profile_15min!H112*1000</f>
        <v/>
      </c>
    </row>
    <row r="113">
      <c r="A113" s="41">
        <f>Load_Profile_15min!F113</f>
        <v/>
      </c>
      <c r="B113" s="41">
        <f>Load_Profile_15min!G113</f>
        <v/>
      </c>
      <c r="C113" s="35">
        <f>Load_Profile_15min!H113</f>
        <v/>
      </c>
      <c r="D113" s="41">
        <f>Load_Profile_15min!H113*1000</f>
        <v/>
      </c>
    </row>
    <row r="114">
      <c r="A114" s="41">
        <f>Load_Profile_15min!F114</f>
        <v/>
      </c>
      <c r="B114" s="41">
        <f>Load_Profile_15min!G114</f>
        <v/>
      </c>
      <c r="C114" s="35">
        <f>Load_Profile_15min!H114</f>
        <v/>
      </c>
      <c r="D114" s="41">
        <f>Load_Profile_15min!H114*1000</f>
        <v/>
      </c>
    </row>
    <row r="115">
      <c r="A115" s="41">
        <f>Load_Profile_15min!F115</f>
        <v/>
      </c>
      <c r="B115" s="41">
        <f>Load_Profile_15min!G115</f>
        <v/>
      </c>
      <c r="C115" s="35">
        <f>Load_Profile_15min!H115</f>
        <v/>
      </c>
      <c r="D115" s="41">
        <f>Load_Profile_15min!H115*1000</f>
        <v/>
      </c>
    </row>
    <row r="116">
      <c r="A116" s="41">
        <f>Load_Profile_15min!F116</f>
        <v/>
      </c>
      <c r="B116" s="41">
        <f>Load_Profile_15min!G116</f>
        <v/>
      </c>
      <c r="C116" s="35">
        <f>Load_Profile_15min!H116</f>
        <v/>
      </c>
      <c r="D116" s="41">
        <f>Load_Profile_15min!H116*1000</f>
        <v/>
      </c>
    </row>
    <row r="117">
      <c r="A117" s="41">
        <f>Load_Profile_15min!F117</f>
        <v/>
      </c>
      <c r="B117" s="41">
        <f>Load_Profile_15min!G117</f>
        <v/>
      </c>
      <c r="C117" s="35">
        <f>Load_Profile_15min!H117</f>
        <v/>
      </c>
      <c r="D117" s="41">
        <f>Load_Profile_15min!H117*1000</f>
        <v/>
      </c>
    </row>
    <row r="118">
      <c r="A118" s="41">
        <f>Load_Profile_15min!F118</f>
        <v/>
      </c>
      <c r="B118" s="41">
        <f>Load_Profile_15min!G118</f>
        <v/>
      </c>
      <c r="C118" s="35">
        <f>Load_Profile_15min!H118</f>
        <v/>
      </c>
      <c r="D118" s="41">
        <f>Load_Profile_15min!H118*1000</f>
        <v/>
      </c>
    </row>
    <row r="119">
      <c r="A119" s="41">
        <f>Load_Profile_15min!F119</f>
        <v/>
      </c>
      <c r="B119" s="41">
        <f>Load_Profile_15min!G119</f>
        <v/>
      </c>
      <c r="C119" s="35">
        <f>Load_Profile_15min!H119</f>
        <v/>
      </c>
      <c r="D119" s="41">
        <f>Load_Profile_15min!H119*1000</f>
        <v/>
      </c>
    </row>
    <row r="120">
      <c r="A120" s="41">
        <f>Load_Profile_15min!F120</f>
        <v/>
      </c>
      <c r="B120" s="41">
        <f>Load_Profile_15min!G120</f>
        <v/>
      </c>
      <c r="C120" s="35">
        <f>Load_Profile_15min!H120</f>
        <v/>
      </c>
      <c r="D120" s="41">
        <f>Load_Profile_15min!H120*1000</f>
        <v/>
      </c>
    </row>
    <row r="121">
      <c r="A121" s="41">
        <f>Load_Profile_15min!F121</f>
        <v/>
      </c>
      <c r="B121" s="41">
        <f>Load_Profile_15min!G121</f>
        <v/>
      </c>
      <c r="C121" s="35">
        <f>Load_Profile_15min!H121</f>
        <v/>
      </c>
      <c r="D121" s="41">
        <f>Load_Profile_15min!H121*1000</f>
        <v/>
      </c>
    </row>
    <row r="122">
      <c r="A122" s="41">
        <f>Load_Profile_15min!F122</f>
        <v/>
      </c>
      <c r="B122" s="41">
        <f>Load_Profile_15min!G122</f>
        <v/>
      </c>
      <c r="C122" s="35">
        <f>Load_Profile_15min!H122</f>
        <v/>
      </c>
      <c r="D122" s="41">
        <f>Load_Profile_15min!H122*1000</f>
        <v/>
      </c>
    </row>
    <row r="123">
      <c r="A123" s="41">
        <f>Load_Profile_15min!F123</f>
        <v/>
      </c>
      <c r="B123" s="41">
        <f>Load_Profile_15min!G123</f>
        <v/>
      </c>
      <c r="C123" s="35">
        <f>Load_Profile_15min!H123</f>
        <v/>
      </c>
      <c r="D123" s="41">
        <f>Load_Profile_15min!H123*1000</f>
        <v/>
      </c>
    </row>
    <row r="124">
      <c r="A124" s="41">
        <f>Load_Profile_15min!F124</f>
        <v/>
      </c>
      <c r="B124" s="41">
        <f>Load_Profile_15min!G124</f>
        <v/>
      </c>
      <c r="C124" s="35">
        <f>Load_Profile_15min!H124</f>
        <v/>
      </c>
      <c r="D124" s="41">
        <f>Load_Profile_15min!H124*1000</f>
        <v/>
      </c>
    </row>
    <row r="125">
      <c r="A125" s="41">
        <f>Load_Profile_15min!F125</f>
        <v/>
      </c>
      <c r="B125" s="41">
        <f>Load_Profile_15min!G125</f>
        <v/>
      </c>
      <c r="C125" s="35">
        <f>Load_Profile_15min!H125</f>
        <v/>
      </c>
      <c r="D125" s="41">
        <f>Load_Profile_15min!H125*1000</f>
        <v/>
      </c>
    </row>
    <row r="126">
      <c r="A126" s="41">
        <f>Load_Profile_15min!F126</f>
        <v/>
      </c>
      <c r="B126" s="41">
        <f>Load_Profile_15min!G126</f>
        <v/>
      </c>
      <c r="C126" s="35">
        <f>Load_Profile_15min!H126</f>
        <v/>
      </c>
      <c r="D126" s="41">
        <f>Load_Profile_15min!H126*1000</f>
        <v/>
      </c>
    </row>
    <row r="127">
      <c r="A127" s="41">
        <f>Load_Profile_15min!F127</f>
        <v/>
      </c>
      <c r="B127" s="41">
        <f>Load_Profile_15min!G127</f>
        <v/>
      </c>
      <c r="C127" s="35">
        <f>Load_Profile_15min!H127</f>
        <v/>
      </c>
      <c r="D127" s="41">
        <f>Load_Profile_15min!H127*1000</f>
        <v/>
      </c>
    </row>
    <row r="128">
      <c r="A128" s="41">
        <f>Load_Profile_15min!F128</f>
        <v/>
      </c>
      <c r="B128" s="41">
        <f>Load_Profile_15min!G128</f>
        <v/>
      </c>
      <c r="C128" s="35">
        <f>Load_Profile_15min!H128</f>
        <v/>
      </c>
      <c r="D128" s="41">
        <f>Load_Profile_15min!H128*1000</f>
        <v/>
      </c>
    </row>
    <row r="129">
      <c r="A129" s="41">
        <f>Load_Profile_15min!F129</f>
        <v/>
      </c>
      <c r="B129" s="41">
        <f>Load_Profile_15min!G129</f>
        <v/>
      </c>
      <c r="C129" s="35">
        <f>Load_Profile_15min!H129</f>
        <v/>
      </c>
      <c r="D129" s="41">
        <f>Load_Profile_15min!H129*1000</f>
        <v/>
      </c>
    </row>
    <row r="130">
      <c r="A130" s="41">
        <f>Load_Profile_15min!F130</f>
        <v/>
      </c>
      <c r="B130" s="41">
        <f>Load_Profile_15min!G130</f>
        <v/>
      </c>
      <c r="C130" s="35">
        <f>Load_Profile_15min!H130</f>
        <v/>
      </c>
      <c r="D130" s="41">
        <f>Load_Profile_15min!H130*1000</f>
        <v/>
      </c>
    </row>
    <row r="131">
      <c r="A131" s="41">
        <f>Load_Profile_15min!F131</f>
        <v/>
      </c>
      <c r="B131" s="41">
        <f>Load_Profile_15min!G131</f>
        <v/>
      </c>
      <c r="C131" s="35">
        <f>Load_Profile_15min!H131</f>
        <v/>
      </c>
      <c r="D131" s="41">
        <f>Load_Profile_15min!H131*1000</f>
        <v/>
      </c>
    </row>
    <row r="132">
      <c r="A132" s="41">
        <f>Load_Profile_15min!F132</f>
        <v/>
      </c>
      <c r="B132" s="41">
        <f>Load_Profile_15min!G132</f>
        <v/>
      </c>
      <c r="C132" s="35">
        <f>Load_Profile_15min!H132</f>
        <v/>
      </c>
      <c r="D132" s="41">
        <f>Load_Profile_15min!H132*1000</f>
        <v/>
      </c>
    </row>
    <row r="133">
      <c r="A133" s="41">
        <f>Load_Profile_15min!F133</f>
        <v/>
      </c>
      <c r="B133" s="41">
        <f>Load_Profile_15min!G133</f>
        <v/>
      </c>
      <c r="C133" s="35">
        <f>Load_Profile_15min!H133</f>
        <v/>
      </c>
      <c r="D133" s="41">
        <f>Load_Profile_15min!H133*1000</f>
        <v/>
      </c>
    </row>
    <row r="134">
      <c r="A134" s="41">
        <f>Load_Profile_15min!F134</f>
        <v/>
      </c>
      <c r="B134" s="41">
        <f>Load_Profile_15min!G134</f>
        <v/>
      </c>
      <c r="C134" s="35">
        <f>Load_Profile_15min!H134</f>
        <v/>
      </c>
      <c r="D134" s="41">
        <f>Load_Profile_15min!H134*1000</f>
        <v/>
      </c>
    </row>
    <row r="135">
      <c r="A135" s="41">
        <f>Load_Profile_15min!F135</f>
        <v/>
      </c>
      <c r="B135" s="41">
        <f>Load_Profile_15min!G135</f>
        <v/>
      </c>
      <c r="C135" s="35">
        <f>Load_Profile_15min!H135</f>
        <v/>
      </c>
      <c r="D135" s="41">
        <f>Load_Profile_15min!H135*1000</f>
        <v/>
      </c>
    </row>
    <row r="136">
      <c r="A136" s="41">
        <f>Load_Profile_15min!F136</f>
        <v/>
      </c>
      <c r="B136" s="41">
        <f>Load_Profile_15min!G136</f>
        <v/>
      </c>
      <c r="C136" s="35">
        <f>Load_Profile_15min!H136</f>
        <v/>
      </c>
      <c r="D136" s="41">
        <f>Load_Profile_15min!H136*1000</f>
        <v/>
      </c>
    </row>
    <row r="137">
      <c r="A137" s="41">
        <f>Load_Profile_15min!F137</f>
        <v/>
      </c>
      <c r="B137" s="41">
        <f>Load_Profile_15min!G137</f>
        <v/>
      </c>
      <c r="C137" s="35">
        <f>Load_Profile_15min!H137</f>
        <v/>
      </c>
      <c r="D137" s="41">
        <f>Load_Profile_15min!H137*1000</f>
        <v/>
      </c>
    </row>
    <row r="138">
      <c r="A138" s="41">
        <f>Load_Profile_15min!F138</f>
        <v/>
      </c>
      <c r="B138" s="41">
        <f>Load_Profile_15min!G138</f>
        <v/>
      </c>
      <c r="C138" s="35">
        <f>Load_Profile_15min!H138</f>
        <v/>
      </c>
      <c r="D138" s="41">
        <f>Load_Profile_15min!H138*1000</f>
        <v/>
      </c>
    </row>
    <row r="139">
      <c r="A139" s="41">
        <f>Load_Profile_15min!F139</f>
        <v/>
      </c>
      <c r="B139" s="41">
        <f>Load_Profile_15min!G139</f>
        <v/>
      </c>
      <c r="C139" s="35">
        <f>Load_Profile_15min!H139</f>
        <v/>
      </c>
      <c r="D139" s="41">
        <f>Load_Profile_15min!H139*1000</f>
        <v/>
      </c>
    </row>
    <row r="140">
      <c r="A140" s="41">
        <f>Load_Profile_15min!F140</f>
        <v/>
      </c>
      <c r="B140" s="41">
        <f>Load_Profile_15min!G140</f>
        <v/>
      </c>
      <c r="C140" s="35">
        <f>Load_Profile_15min!H140</f>
        <v/>
      </c>
      <c r="D140" s="41">
        <f>Load_Profile_15min!H140*1000</f>
        <v/>
      </c>
    </row>
    <row r="141">
      <c r="A141" s="41">
        <f>Load_Profile_15min!F141</f>
        <v/>
      </c>
      <c r="B141" s="41">
        <f>Load_Profile_15min!G141</f>
        <v/>
      </c>
      <c r="C141" s="35">
        <f>Load_Profile_15min!H141</f>
        <v/>
      </c>
      <c r="D141" s="41">
        <f>Load_Profile_15min!H141*1000</f>
        <v/>
      </c>
    </row>
    <row r="142">
      <c r="A142" s="41">
        <f>Load_Profile_15min!F142</f>
        <v/>
      </c>
      <c r="B142" s="41">
        <f>Load_Profile_15min!G142</f>
        <v/>
      </c>
      <c r="C142" s="35">
        <f>Load_Profile_15min!H142</f>
        <v/>
      </c>
      <c r="D142" s="41">
        <f>Load_Profile_15min!H142*1000</f>
        <v/>
      </c>
    </row>
    <row r="143">
      <c r="A143" s="41">
        <f>Load_Profile_15min!F143</f>
        <v/>
      </c>
      <c r="B143" s="41">
        <f>Load_Profile_15min!G143</f>
        <v/>
      </c>
      <c r="C143" s="35">
        <f>Load_Profile_15min!H143</f>
        <v/>
      </c>
      <c r="D143" s="41">
        <f>Load_Profile_15min!H143*1000</f>
        <v/>
      </c>
    </row>
    <row r="144">
      <c r="A144" s="41">
        <f>Load_Profile_15min!F144</f>
        <v/>
      </c>
      <c r="B144" s="41">
        <f>Load_Profile_15min!G144</f>
        <v/>
      </c>
      <c r="C144" s="35">
        <f>Load_Profile_15min!H144</f>
        <v/>
      </c>
      <c r="D144" s="41">
        <f>Load_Profile_15min!H144*1000</f>
        <v/>
      </c>
    </row>
    <row r="145">
      <c r="A145" s="41">
        <f>Load_Profile_15min!F145</f>
        <v/>
      </c>
      <c r="B145" s="41">
        <f>Load_Profile_15min!G145</f>
        <v/>
      </c>
      <c r="C145" s="35">
        <f>Load_Profile_15min!H145</f>
        <v/>
      </c>
      <c r="D145" s="41">
        <f>Load_Profile_15min!H145*1000</f>
        <v/>
      </c>
    </row>
    <row r="146">
      <c r="A146" s="41">
        <f>Load_Profile_15min!F146</f>
        <v/>
      </c>
      <c r="B146" s="41">
        <f>Load_Profile_15min!G146</f>
        <v/>
      </c>
      <c r="C146" s="35">
        <f>Load_Profile_15min!H146</f>
        <v/>
      </c>
      <c r="D146" s="41">
        <f>Load_Profile_15min!H146*1000</f>
        <v/>
      </c>
    </row>
    <row r="147">
      <c r="A147" s="41">
        <f>Load_Profile_15min!F147</f>
        <v/>
      </c>
      <c r="B147" s="41">
        <f>Load_Profile_15min!G147</f>
        <v/>
      </c>
      <c r="C147" s="35">
        <f>Load_Profile_15min!H147</f>
        <v/>
      </c>
      <c r="D147" s="41">
        <f>Load_Profile_15min!H147*1000</f>
        <v/>
      </c>
    </row>
    <row r="148">
      <c r="A148" s="41">
        <f>Load_Profile_15min!F148</f>
        <v/>
      </c>
      <c r="B148" s="41">
        <f>Load_Profile_15min!G148</f>
        <v/>
      </c>
      <c r="C148" s="35">
        <f>Load_Profile_15min!H148</f>
        <v/>
      </c>
      <c r="D148" s="41">
        <f>Load_Profile_15min!H148*1000</f>
        <v/>
      </c>
    </row>
    <row r="149">
      <c r="A149" s="41">
        <f>Load_Profile_15min!F149</f>
        <v/>
      </c>
      <c r="B149" s="41">
        <f>Load_Profile_15min!G149</f>
        <v/>
      </c>
      <c r="C149" s="35">
        <f>Load_Profile_15min!H149</f>
        <v/>
      </c>
      <c r="D149" s="41">
        <f>Load_Profile_15min!H149*1000</f>
        <v/>
      </c>
    </row>
    <row r="150">
      <c r="A150" s="41">
        <f>Load_Profile_15min!F150</f>
        <v/>
      </c>
      <c r="B150" s="41">
        <f>Load_Profile_15min!G150</f>
        <v/>
      </c>
      <c r="C150" s="35">
        <f>Load_Profile_15min!H150</f>
        <v/>
      </c>
      <c r="D150" s="41">
        <f>Load_Profile_15min!H150*1000</f>
        <v/>
      </c>
    </row>
    <row r="151">
      <c r="A151" s="41">
        <f>Load_Profile_15min!F151</f>
        <v/>
      </c>
      <c r="B151" s="41">
        <f>Load_Profile_15min!G151</f>
        <v/>
      </c>
      <c r="C151" s="35">
        <f>Load_Profile_15min!H151</f>
        <v/>
      </c>
      <c r="D151" s="41">
        <f>Load_Profile_15min!H151*1000</f>
        <v/>
      </c>
    </row>
    <row r="152">
      <c r="A152" s="41">
        <f>Load_Profile_15min!F152</f>
        <v/>
      </c>
      <c r="B152" s="41">
        <f>Load_Profile_15min!G152</f>
        <v/>
      </c>
      <c r="C152" s="35">
        <f>Load_Profile_15min!H152</f>
        <v/>
      </c>
      <c r="D152" s="41">
        <f>Load_Profile_15min!H152*1000</f>
        <v/>
      </c>
    </row>
    <row r="153">
      <c r="A153" s="41">
        <f>Load_Profile_15min!F153</f>
        <v/>
      </c>
      <c r="B153" s="41">
        <f>Load_Profile_15min!G153</f>
        <v/>
      </c>
      <c r="C153" s="35">
        <f>Load_Profile_15min!H153</f>
        <v/>
      </c>
      <c r="D153" s="41">
        <f>Load_Profile_15min!H153*1000</f>
        <v/>
      </c>
    </row>
    <row r="154">
      <c r="A154" s="41">
        <f>Load_Profile_15min!F154</f>
        <v/>
      </c>
      <c r="B154" s="41">
        <f>Load_Profile_15min!G154</f>
        <v/>
      </c>
      <c r="C154" s="35">
        <f>Load_Profile_15min!H154</f>
        <v/>
      </c>
      <c r="D154" s="41">
        <f>Load_Profile_15min!H154*1000</f>
        <v/>
      </c>
    </row>
    <row r="155">
      <c r="A155" s="41">
        <f>Load_Profile_15min!F155</f>
        <v/>
      </c>
      <c r="B155" s="41">
        <f>Load_Profile_15min!G155</f>
        <v/>
      </c>
      <c r="C155" s="35">
        <f>Load_Profile_15min!H155</f>
        <v/>
      </c>
      <c r="D155" s="41">
        <f>Load_Profile_15min!H155*1000</f>
        <v/>
      </c>
    </row>
    <row r="156">
      <c r="A156" s="41">
        <f>Load_Profile_15min!F156</f>
        <v/>
      </c>
      <c r="B156" s="41">
        <f>Load_Profile_15min!G156</f>
        <v/>
      </c>
      <c r="C156" s="35">
        <f>Load_Profile_15min!H156</f>
        <v/>
      </c>
      <c r="D156" s="41">
        <f>Load_Profile_15min!H156*1000</f>
        <v/>
      </c>
    </row>
    <row r="157">
      <c r="A157" s="41">
        <f>Load_Profile_15min!F157</f>
        <v/>
      </c>
      <c r="B157" s="41">
        <f>Load_Profile_15min!G157</f>
        <v/>
      </c>
      <c r="C157" s="35">
        <f>Load_Profile_15min!H157</f>
        <v/>
      </c>
      <c r="D157" s="41">
        <f>Load_Profile_15min!H157*1000</f>
        <v/>
      </c>
    </row>
    <row r="158">
      <c r="A158" s="41">
        <f>Load_Profile_15min!F158</f>
        <v/>
      </c>
      <c r="B158" s="41">
        <f>Load_Profile_15min!G158</f>
        <v/>
      </c>
      <c r="C158" s="35">
        <f>Load_Profile_15min!H158</f>
        <v/>
      </c>
      <c r="D158" s="41">
        <f>Load_Profile_15min!H158*1000</f>
        <v/>
      </c>
    </row>
    <row r="159">
      <c r="A159" s="41">
        <f>Load_Profile_15min!F159</f>
        <v/>
      </c>
      <c r="B159" s="41">
        <f>Load_Profile_15min!G159</f>
        <v/>
      </c>
      <c r="C159" s="35">
        <f>Load_Profile_15min!H159</f>
        <v/>
      </c>
      <c r="D159" s="41">
        <f>Load_Profile_15min!H159*1000</f>
        <v/>
      </c>
    </row>
    <row r="160">
      <c r="A160" s="41">
        <f>Load_Profile_15min!F160</f>
        <v/>
      </c>
      <c r="B160" s="41">
        <f>Load_Profile_15min!G160</f>
        <v/>
      </c>
      <c r="C160" s="35">
        <f>Load_Profile_15min!H160</f>
        <v/>
      </c>
      <c r="D160" s="41">
        <f>Load_Profile_15min!H160*1000</f>
        <v/>
      </c>
    </row>
    <row r="161">
      <c r="A161" s="41">
        <f>Load_Profile_15min!F161</f>
        <v/>
      </c>
      <c r="B161" s="41">
        <f>Load_Profile_15min!G161</f>
        <v/>
      </c>
      <c r="C161" s="35">
        <f>Load_Profile_15min!H161</f>
        <v/>
      </c>
      <c r="D161" s="41">
        <f>Load_Profile_15min!H161*1000</f>
        <v/>
      </c>
    </row>
    <row r="162">
      <c r="A162" s="41">
        <f>Load_Profile_15min!F162</f>
        <v/>
      </c>
      <c r="B162" s="41">
        <f>Load_Profile_15min!G162</f>
        <v/>
      </c>
      <c r="C162" s="35">
        <f>Load_Profile_15min!H162</f>
        <v/>
      </c>
      <c r="D162" s="41">
        <f>Load_Profile_15min!H162*1000</f>
        <v/>
      </c>
    </row>
    <row r="163">
      <c r="A163" s="41">
        <f>Load_Profile_15min!F163</f>
        <v/>
      </c>
      <c r="B163" s="41">
        <f>Load_Profile_15min!G163</f>
        <v/>
      </c>
      <c r="C163" s="35">
        <f>Load_Profile_15min!H163</f>
        <v/>
      </c>
      <c r="D163" s="41">
        <f>Load_Profile_15min!H163*1000</f>
        <v/>
      </c>
    </row>
    <row r="164">
      <c r="A164" s="41">
        <f>Load_Profile_15min!F164</f>
        <v/>
      </c>
      <c r="B164" s="41">
        <f>Load_Profile_15min!G164</f>
        <v/>
      </c>
      <c r="C164" s="35">
        <f>Load_Profile_15min!H164</f>
        <v/>
      </c>
      <c r="D164" s="41">
        <f>Load_Profile_15min!H164*1000</f>
        <v/>
      </c>
    </row>
    <row r="165">
      <c r="A165" s="41">
        <f>Load_Profile_15min!F165</f>
        <v/>
      </c>
      <c r="B165" s="41">
        <f>Load_Profile_15min!G165</f>
        <v/>
      </c>
      <c r="C165" s="35">
        <f>Load_Profile_15min!H165</f>
        <v/>
      </c>
      <c r="D165" s="41">
        <f>Load_Profile_15min!H165*1000</f>
        <v/>
      </c>
    </row>
    <row r="166">
      <c r="A166" s="41">
        <f>Load_Profile_15min!F166</f>
        <v/>
      </c>
      <c r="B166" s="41">
        <f>Load_Profile_15min!G166</f>
        <v/>
      </c>
      <c r="C166" s="35">
        <f>Load_Profile_15min!H166</f>
        <v/>
      </c>
      <c r="D166" s="41">
        <f>Load_Profile_15min!H166*1000</f>
        <v/>
      </c>
    </row>
    <row r="167">
      <c r="A167" s="41">
        <f>Load_Profile_15min!F167</f>
        <v/>
      </c>
      <c r="B167" s="41">
        <f>Load_Profile_15min!G167</f>
        <v/>
      </c>
      <c r="C167" s="35">
        <f>Load_Profile_15min!H167</f>
        <v/>
      </c>
      <c r="D167" s="41">
        <f>Load_Profile_15min!H167*1000</f>
        <v/>
      </c>
    </row>
    <row r="168">
      <c r="A168" s="41">
        <f>Load_Profile_15min!F168</f>
        <v/>
      </c>
      <c r="B168" s="41">
        <f>Load_Profile_15min!G168</f>
        <v/>
      </c>
      <c r="C168" s="35">
        <f>Load_Profile_15min!H168</f>
        <v/>
      </c>
      <c r="D168" s="41">
        <f>Load_Profile_15min!H168*1000</f>
        <v/>
      </c>
    </row>
    <row r="169">
      <c r="A169" s="41">
        <f>Load_Profile_15min!F169</f>
        <v/>
      </c>
      <c r="B169" s="41">
        <f>Load_Profile_15min!G169</f>
        <v/>
      </c>
      <c r="C169" s="35">
        <f>Load_Profile_15min!H169</f>
        <v/>
      </c>
      <c r="D169" s="41">
        <f>Load_Profile_15min!H169*1000</f>
        <v/>
      </c>
    </row>
    <row r="170">
      <c r="A170" s="41">
        <f>Load_Profile_15min!F170</f>
        <v/>
      </c>
      <c r="B170" s="41">
        <f>Load_Profile_15min!G170</f>
        <v/>
      </c>
      <c r="C170" s="35">
        <f>Load_Profile_15min!H170</f>
        <v/>
      </c>
      <c r="D170" s="41">
        <f>Load_Profile_15min!H170*1000</f>
        <v/>
      </c>
    </row>
    <row r="171">
      <c r="A171" s="41">
        <f>Load_Profile_15min!F171</f>
        <v/>
      </c>
      <c r="B171" s="41">
        <f>Load_Profile_15min!G171</f>
        <v/>
      </c>
      <c r="C171" s="35">
        <f>Load_Profile_15min!H171</f>
        <v/>
      </c>
      <c r="D171" s="41">
        <f>Load_Profile_15min!H171*1000</f>
        <v/>
      </c>
    </row>
    <row r="172">
      <c r="A172" s="41">
        <f>Load_Profile_15min!F172</f>
        <v/>
      </c>
      <c r="B172" s="41">
        <f>Load_Profile_15min!G172</f>
        <v/>
      </c>
      <c r="C172" s="35">
        <f>Load_Profile_15min!H172</f>
        <v/>
      </c>
      <c r="D172" s="41">
        <f>Load_Profile_15min!H172*1000</f>
        <v/>
      </c>
    </row>
    <row r="173">
      <c r="A173" s="41">
        <f>Load_Profile_15min!F173</f>
        <v/>
      </c>
      <c r="B173" s="41">
        <f>Load_Profile_15min!G173</f>
        <v/>
      </c>
      <c r="C173" s="35">
        <f>Load_Profile_15min!H173</f>
        <v/>
      </c>
      <c r="D173" s="41">
        <f>Load_Profile_15min!H173*1000</f>
        <v/>
      </c>
    </row>
    <row r="174">
      <c r="A174" s="41">
        <f>Load_Profile_15min!F174</f>
        <v/>
      </c>
      <c r="B174" s="41">
        <f>Load_Profile_15min!G174</f>
        <v/>
      </c>
      <c r="C174" s="35">
        <f>Load_Profile_15min!H174</f>
        <v/>
      </c>
      <c r="D174" s="41">
        <f>Load_Profile_15min!H174*1000</f>
        <v/>
      </c>
    </row>
    <row r="175">
      <c r="A175" s="41">
        <f>Load_Profile_15min!F175</f>
        <v/>
      </c>
      <c r="B175" s="41">
        <f>Load_Profile_15min!G175</f>
        <v/>
      </c>
      <c r="C175" s="35">
        <f>Load_Profile_15min!H175</f>
        <v/>
      </c>
      <c r="D175" s="41">
        <f>Load_Profile_15min!H175*1000</f>
        <v/>
      </c>
    </row>
    <row r="176">
      <c r="A176" s="41">
        <f>Load_Profile_15min!F176</f>
        <v/>
      </c>
      <c r="B176" s="41">
        <f>Load_Profile_15min!G176</f>
        <v/>
      </c>
      <c r="C176" s="35">
        <f>Load_Profile_15min!H176</f>
        <v/>
      </c>
      <c r="D176" s="41">
        <f>Load_Profile_15min!H176*1000</f>
        <v/>
      </c>
    </row>
    <row r="177">
      <c r="A177" s="41">
        <f>Load_Profile_15min!F177</f>
        <v/>
      </c>
      <c r="B177" s="41">
        <f>Load_Profile_15min!G177</f>
        <v/>
      </c>
      <c r="C177" s="35">
        <f>Load_Profile_15min!H177</f>
        <v/>
      </c>
      <c r="D177" s="41">
        <f>Load_Profile_15min!H177*1000</f>
        <v/>
      </c>
    </row>
    <row r="178">
      <c r="A178" s="41">
        <f>Load_Profile_15min!F178</f>
        <v/>
      </c>
      <c r="B178" s="41">
        <f>Load_Profile_15min!G178</f>
        <v/>
      </c>
      <c r="C178" s="35">
        <f>Load_Profile_15min!H178</f>
        <v/>
      </c>
      <c r="D178" s="41">
        <f>Load_Profile_15min!H178*1000</f>
        <v/>
      </c>
    </row>
    <row r="179">
      <c r="A179" s="41">
        <f>Load_Profile_15min!F179</f>
        <v/>
      </c>
      <c r="B179" s="41">
        <f>Load_Profile_15min!G179</f>
        <v/>
      </c>
      <c r="C179" s="35">
        <f>Load_Profile_15min!H179</f>
        <v/>
      </c>
      <c r="D179" s="41">
        <f>Load_Profile_15min!H179*1000</f>
        <v/>
      </c>
    </row>
    <row r="180">
      <c r="A180" s="41">
        <f>Load_Profile_15min!F180</f>
        <v/>
      </c>
      <c r="B180" s="41">
        <f>Load_Profile_15min!G180</f>
        <v/>
      </c>
      <c r="C180" s="35">
        <f>Load_Profile_15min!H180</f>
        <v/>
      </c>
      <c r="D180" s="41">
        <f>Load_Profile_15min!H180*1000</f>
        <v/>
      </c>
    </row>
    <row r="181">
      <c r="A181" s="41">
        <f>Load_Profile_15min!F181</f>
        <v/>
      </c>
      <c r="B181" s="41">
        <f>Load_Profile_15min!G181</f>
        <v/>
      </c>
      <c r="C181" s="35">
        <f>Load_Profile_15min!H181</f>
        <v/>
      </c>
      <c r="D181" s="41">
        <f>Load_Profile_15min!H181*1000</f>
        <v/>
      </c>
    </row>
    <row r="182">
      <c r="A182" s="41">
        <f>Load_Profile_15min!F182</f>
        <v/>
      </c>
      <c r="B182" s="41">
        <f>Load_Profile_15min!G182</f>
        <v/>
      </c>
      <c r="C182" s="35">
        <f>Load_Profile_15min!H182</f>
        <v/>
      </c>
      <c r="D182" s="41">
        <f>Load_Profile_15min!H182*1000</f>
        <v/>
      </c>
    </row>
    <row r="183">
      <c r="A183" s="41">
        <f>Load_Profile_15min!F183</f>
        <v/>
      </c>
      <c r="B183" s="41">
        <f>Load_Profile_15min!G183</f>
        <v/>
      </c>
      <c r="C183" s="35">
        <f>Load_Profile_15min!H183</f>
        <v/>
      </c>
      <c r="D183" s="41">
        <f>Load_Profile_15min!H183*1000</f>
        <v/>
      </c>
    </row>
    <row r="184">
      <c r="A184" s="41">
        <f>Load_Profile_15min!F184</f>
        <v/>
      </c>
      <c r="B184" s="41">
        <f>Load_Profile_15min!G184</f>
        <v/>
      </c>
      <c r="C184" s="35">
        <f>Load_Profile_15min!H184</f>
        <v/>
      </c>
      <c r="D184" s="41">
        <f>Load_Profile_15min!H184*1000</f>
        <v/>
      </c>
    </row>
    <row r="185">
      <c r="A185" s="41">
        <f>Load_Profile_15min!F185</f>
        <v/>
      </c>
      <c r="B185" s="41">
        <f>Load_Profile_15min!G185</f>
        <v/>
      </c>
      <c r="C185" s="35">
        <f>Load_Profile_15min!H185</f>
        <v/>
      </c>
      <c r="D185" s="41">
        <f>Load_Profile_15min!H185*1000</f>
        <v/>
      </c>
    </row>
    <row r="186">
      <c r="A186" s="41">
        <f>Load_Profile_15min!F186</f>
        <v/>
      </c>
      <c r="B186" s="41">
        <f>Load_Profile_15min!G186</f>
        <v/>
      </c>
      <c r="C186" s="35">
        <f>Load_Profile_15min!H186</f>
        <v/>
      </c>
      <c r="D186" s="41">
        <f>Load_Profile_15min!H186*1000</f>
        <v/>
      </c>
    </row>
    <row r="187">
      <c r="A187" s="41">
        <f>Load_Profile_15min!F187</f>
        <v/>
      </c>
      <c r="B187" s="41">
        <f>Load_Profile_15min!G187</f>
        <v/>
      </c>
      <c r="C187" s="35">
        <f>Load_Profile_15min!H187</f>
        <v/>
      </c>
      <c r="D187" s="41">
        <f>Load_Profile_15min!H187*1000</f>
        <v/>
      </c>
    </row>
    <row r="188">
      <c r="A188" s="41">
        <f>Load_Profile_15min!F188</f>
        <v/>
      </c>
      <c r="B188" s="41">
        <f>Load_Profile_15min!G188</f>
        <v/>
      </c>
      <c r="C188" s="35">
        <f>Load_Profile_15min!H188</f>
        <v/>
      </c>
      <c r="D188" s="41">
        <f>Load_Profile_15min!H188*1000</f>
        <v/>
      </c>
    </row>
    <row r="189">
      <c r="A189" s="41">
        <f>Load_Profile_15min!F189</f>
        <v/>
      </c>
      <c r="B189" s="41">
        <f>Load_Profile_15min!G189</f>
        <v/>
      </c>
      <c r="C189" s="35">
        <f>Load_Profile_15min!H189</f>
        <v/>
      </c>
      <c r="D189" s="41">
        <f>Load_Profile_15min!H189*1000</f>
        <v/>
      </c>
    </row>
    <row r="190">
      <c r="A190" s="41">
        <f>Load_Profile_15min!F190</f>
        <v/>
      </c>
      <c r="B190" s="41">
        <f>Load_Profile_15min!G190</f>
        <v/>
      </c>
      <c r="C190" s="35">
        <f>Load_Profile_15min!H190</f>
        <v/>
      </c>
      <c r="D190" s="41">
        <f>Load_Profile_15min!H190*1000</f>
        <v/>
      </c>
    </row>
    <row r="191">
      <c r="A191" s="41">
        <f>Load_Profile_15min!F191</f>
        <v/>
      </c>
      <c r="B191" s="41">
        <f>Load_Profile_15min!G191</f>
        <v/>
      </c>
      <c r="C191" s="35">
        <f>Load_Profile_15min!H191</f>
        <v/>
      </c>
      <c r="D191" s="41">
        <f>Load_Profile_15min!H191*1000</f>
        <v/>
      </c>
    </row>
    <row r="192">
      <c r="A192" s="41">
        <f>Load_Profile_15min!F192</f>
        <v/>
      </c>
      <c r="B192" s="41">
        <f>Load_Profile_15min!G192</f>
        <v/>
      </c>
      <c r="C192" s="35">
        <f>Load_Profile_15min!H192</f>
        <v/>
      </c>
      <c r="D192" s="41">
        <f>Load_Profile_15min!H192*1000</f>
        <v/>
      </c>
    </row>
    <row r="193">
      <c r="A193" s="41">
        <f>Load_Profile_15min!F193</f>
        <v/>
      </c>
      <c r="B193" s="41">
        <f>Load_Profile_15min!G193</f>
        <v/>
      </c>
      <c r="C193" s="35">
        <f>Load_Profile_15min!H193</f>
        <v/>
      </c>
      <c r="D193" s="41">
        <f>Load_Profile_15min!H193*1000</f>
        <v/>
      </c>
    </row>
    <row r="194">
      <c r="A194" s="41">
        <f>Load_Profile_15min!F194</f>
        <v/>
      </c>
      <c r="B194" s="41">
        <f>Load_Profile_15min!G194</f>
        <v/>
      </c>
      <c r="C194" s="35">
        <f>Load_Profile_15min!H194</f>
        <v/>
      </c>
      <c r="D194" s="41">
        <f>Load_Profile_15min!H194*1000</f>
        <v/>
      </c>
    </row>
    <row r="195">
      <c r="A195" s="41">
        <f>Load_Profile_15min!F195</f>
        <v/>
      </c>
      <c r="B195" s="41">
        <f>Load_Profile_15min!G195</f>
        <v/>
      </c>
      <c r="C195" s="35">
        <f>Load_Profile_15min!H195</f>
        <v/>
      </c>
      <c r="D195" s="41">
        <f>Load_Profile_15min!H195*1000</f>
        <v/>
      </c>
    </row>
    <row r="196">
      <c r="A196" s="41">
        <f>Load_Profile_15min!F196</f>
        <v/>
      </c>
      <c r="B196" s="41">
        <f>Load_Profile_15min!G196</f>
        <v/>
      </c>
      <c r="C196" s="35">
        <f>Load_Profile_15min!H196</f>
        <v/>
      </c>
      <c r="D196" s="41">
        <f>Load_Profile_15min!H196*1000</f>
        <v/>
      </c>
    </row>
    <row r="197">
      <c r="A197" s="41">
        <f>Load_Profile_15min!F197</f>
        <v/>
      </c>
      <c r="B197" s="41">
        <f>Load_Profile_15min!G197</f>
        <v/>
      </c>
      <c r="C197" s="35">
        <f>Load_Profile_15min!H197</f>
        <v/>
      </c>
      <c r="D197" s="41">
        <f>Load_Profile_15min!H197*1000</f>
        <v/>
      </c>
    </row>
    <row r="198">
      <c r="A198" s="41">
        <f>Load_Profile_15min!F198</f>
        <v/>
      </c>
      <c r="B198" s="41">
        <f>Load_Profile_15min!G198</f>
        <v/>
      </c>
      <c r="C198" s="35">
        <f>Load_Profile_15min!H198</f>
        <v/>
      </c>
      <c r="D198" s="41">
        <f>Load_Profile_15min!H198*1000</f>
        <v/>
      </c>
    </row>
    <row r="199">
      <c r="A199" s="41">
        <f>Load_Profile_15min!F199</f>
        <v/>
      </c>
      <c r="B199" s="41">
        <f>Load_Profile_15min!G199</f>
        <v/>
      </c>
      <c r="C199" s="35">
        <f>Load_Profile_15min!H199</f>
        <v/>
      </c>
      <c r="D199" s="41">
        <f>Load_Profile_15min!H199*1000</f>
        <v/>
      </c>
    </row>
    <row r="200">
      <c r="A200" s="41">
        <f>Load_Profile_15min!F200</f>
        <v/>
      </c>
      <c r="B200" s="41">
        <f>Load_Profile_15min!G200</f>
        <v/>
      </c>
      <c r="C200" s="35">
        <f>Load_Profile_15min!H200</f>
        <v/>
      </c>
      <c r="D200" s="41">
        <f>Load_Profile_15min!H200*1000</f>
        <v/>
      </c>
    </row>
    <row r="201">
      <c r="A201" s="41">
        <f>Load_Profile_15min!F201</f>
        <v/>
      </c>
      <c r="B201" s="41">
        <f>Load_Profile_15min!G201</f>
        <v/>
      </c>
      <c r="C201" s="35">
        <f>Load_Profile_15min!H201</f>
        <v/>
      </c>
      <c r="D201" s="41">
        <f>Load_Profile_15min!H201*1000</f>
        <v/>
      </c>
    </row>
    <row r="202">
      <c r="A202" s="41">
        <f>Load_Profile_15min!F202</f>
        <v/>
      </c>
      <c r="B202" s="41">
        <f>Load_Profile_15min!G202</f>
        <v/>
      </c>
      <c r="C202" s="35">
        <f>Load_Profile_15min!H202</f>
        <v/>
      </c>
      <c r="D202" s="41">
        <f>Load_Profile_15min!H202*1000</f>
        <v/>
      </c>
    </row>
    <row r="203">
      <c r="A203" s="41">
        <f>Load_Profile_15min!F203</f>
        <v/>
      </c>
      <c r="B203" s="41">
        <f>Load_Profile_15min!G203</f>
        <v/>
      </c>
      <c r="C203" s="35">
        <f>Load_Profile_15min!H203</f>
        <v/>
      </c>
      <c r="D203" s="41">
        <f>Load_Profile_15min!H203*1000</f>
        <v/>
      </c>
    </row>
    <row r="204">
      <c r="A204" s="41">
        <f>Load_Profile_15min!F204</f>
        <v/>
      </c>
      <c r="B204" s="41">
        <f>Load_Profile_15min!G204</f>
        <v/>
      </c>
      <c r="C204" s="35">
        <f>Load_Profile_15min!H204</f>
        <v/>
      </c>
      <c r="D204" s="41">
        <f>Load_Profile_15min!H204*1000</f>
        <v/>
      </c>
    </row>
    <row r="205">
      <c r="A205" s="41">
        <f>Load_Profile_15min!F205</f>
        <v/>
      </c>
      <c r="B205" s="41">
        <f>Load_Profile_15min!G205</f>
        <v/>
      </c>
      <c r="C205" s="35">
        <f>Load_Profile_15min!H205</f>
        <v/>
      </c>
      <c r="D205" s="41">
        <f>Load_Profile_15min!H205*1000</f>
        <v/>
      </c>
    </row>
    <row r="206">
      <c r="A206" s="41">
        <f>Load_Profile_15min!F206</f>
        <v/>
      </c>
      <c r="B206" s="41">
        <f>Load_Profile_15min!G206</f>
        <v/>
      </c>
      <c r="C206" s="35">
        <f>Load_Profile_15min!H206</f>
        <v/>
      </c>
      <c r="D206" s="41">
        <f>Load_Profile_15min!H206*1000</f>
        <v/>
      </c>
    </row>
    <row r="207">
      <c r="A207" s="41">
        <f>Load_Profile_15min!F207</f>
        <v/>
      </c>
      <c r="B207" s="41">
        <f>Load_Profile_15min!G207</f>
        <v/>
      </c>
      <c r="C207" s="35">
        <f>Load_Profile_15min!H207</f>
        <v/>
      </c>
      <c r="D207" s="41">
        <f>Load_Profile_15min!H207*1000</f>
        <v/>
      </c>
    </row>
    <row r="208">
      <c r="A208" s="41">
        <f>Load_Profile_15min!F208</f>
        <v/>
      </c>
      <c r="B208" s="41">
        <f>Load_Profile_15min!G208</f>
        <v/>
      </c>
      <c r="C208" s="35">
        <f>Load_Profile_15min!H208</f>
        <v/>
      </c>
      <c r="D208" s="41">
        <f>Load_Profile_15min!H208*1000</f>
        <v/>
      </c>
    </row>
    <row r="209">
      <c r="A209" s="41">
        <f>Load_Profile_15min!F209</f>
        <v/>
      </c>
      <c r="B209" s="41">
        <f>Load_Profile_15min!G209</f>
        <v/>
      </c>
      <c r="C209" s="35">
        <f>Load_Profile_15min!H209</f>
        <v/>
      </c>
      <c r="D209" s="41">
        <f>Load_Profile_15min!H209*1000</f>
        <v/>
      </c>
    </row>
    <row r="210">
      <c r="A210" s="41">
        <f>Load_Profile_15min!F210</f>
        <v/>
      </c>
      <c r="B210" s="41">
        <f>Load_Profile_15min!G210</f>
        <v/>
      </c>
      <c r="C210" s="35">
        <f>Load_Profile_15min!H210</f>
        <v/>
      </c>
      <c r="D210" s="41">
        <f>Load_Profile_15min!H210*1000</f>
        <v/>
      </c>
    </row>
    <row r="211">
      <c r="A211" s="41">
        <f>Load_Profile_15min!F211</f>
        <v/>
      </c>
      <c r="B211" s="41">
        <f>Load_Profile_15min!G211</f>
        <v/>
      </c>
      <c r="C211" s="35">
        <f>Load_Profile_15min!H211</f>
        <v/>
      </c>
      <c r="D211" s="41">
        <f>Load_Profile_15min!H211*1000</f>
        <v/>
      </c>
    </row>
    <row r="212">
      <c r="A212" s="41">
        <f>Load_Profile_15min!F212</f>
        <v/>
      </c>
      <c r="B212" s="41">
        <f>Load_Profile_15min!G212</f>
        <v/>
      </c>
      <c r="C212" s="35">
        <f>Load_Profile_15min!H212</f>
        <v/>
      </c>
      <c r="D212" s="41">
        <f>Load_Profile_15min!H212*1000</f>
        <v/>
      </c>
    </row>
    <row r="213">
      <c r="A213" s="41">
        <f>Load_Profile_15min!F213</f>
        <v/>
      </c>
      <c r="B213" s="41">
        <f>Load_Profile_15min!G213</f>
        <v/>
      </c>
      <c r="C213" s="35">
        <f>Load_Profile_15min!H213</f>
        <v/>
      </c>
      <c r="D213" s="41">
        <f>Load_Profile_15min!H213*1000</f>
        <v/>
      </c>
    </row>
    <row r="214">
      <c r="A214" s="41">
        <f>Load_Profile_15min!F214</f>
        <v/>
      </c>
      <c r="B214" s="41">
        <f>Load_Profile_15min!G214</f>
        <v/>
      </c>
      <c r="C214" s="35">
        <f>Load_Profile_15min!H214</f>
        <v/>
      </c>
      <c r="D214" s="41">
        <f>Load_Profile_15min!H214*1000</f>
        <v/>
      </c>
    </row>
    <row r="215">
      <c r="A215" s="41">
        <f>Load_Profile_15min!F215</f>
        <v/>
      </c>
      <c r="B215" s="41">
        <f>Load_Profile_15min!G215</f>
        <v/>
      </c>
      <c r="C215" s="35">
        <f>Load_Profile_15min!H215</f>
        <v/>
      </c>
      <c r="D215" s="41">
        <f>Load_Profile_15min!H215*1000</f>
        <v/>
      </c>
    </row>
    <row r="216">
      <c r="A216" s="41">
        <f>Load_Profile_15min!F216</f>
        <v/>
      </c>
      <c r="B216" s="41">
        <f>Load_Profile_15min!G216</f>
        <v/>
      </c>
      <c r="C216" s="35">
        <f>Load_Profile_15min!H216</f>
        <v/>
      </c>
      <c r="D216" s="41">
        <f>Load_Profile_15min!H216*1000</f>
        <v/>
      </c>
    </row>
    <row r="217">
      <c r="A217" s="41">
        <f>Load_Profile_15min!F217</f>
        <v/>
      </c>
      <c r="B217" s="41">
        <f>Load_Profile_15min!G217</f>
        <v/>
      </c>
      <c r="C217" s="35">
        <f>Load_Profile_15min!H217</f>
        <v/>
      </c>
      <c r="D217" s="41">
        <f>Load_Profile_15min!H217*1000</f>
        <v/>
      </c>
    </row>
    <row r="218">
      <c r="A218" s="41">
        <f>Load_Profile_15min!F218</f>
        <v/>
      </c>
      <c r="B218" s="41">
        <f>Load_Profile_15min!G218</f>
        <v/>
      </c>
      <c r="C218" s="35">
        <f>Load_Profile_15min!H218</f>
        <v/>
      </c>
      <c r="D218" s="41">
        <f>Load_Profile_15min!H218*1000</f>
        <v/>
      </c>
    </row>
    <row r="219">
      <c r="A219" s="41">
        <f>Load_Profile_15min!F219</f>
        <v/>
      </c>
      <c r="B219" s="41">
        <f>Load_Profile_15min!G219</f>
        <v/>
      </c>
      <c r="C219" s="35">
        <f>Load_Profile_15min!H219</f>
        <v/>
      </c>
      <c r="D219" s="41">
        <f>Load_Profile_15min!H219*1000</f>
        <v/>
      </c>
    </row>
    <row r="220">
      <c r="A220" s="41">
        <f>Load_Profile_15min!F220</f>
        <v/>
      </c>
      <c r="B220" s="41">
        <f>Load_Profile_15min!G220</f>
        <v/>
      </c>
      <c r="C220" s="35">
        <f>Load_Profile_15min!H220</f>
        <v/>
      </c>
      <c r="D220" s="41">
        <f>Load_Profile_15min!H220*1000</f>
        <v/>
      </c>
    </row>
    <row r="221">
      <c r="A221" s="41">
        <f>Load_Profile_15min!F221</f>
        <v/>
      </c>
      <c r="B221" s="41">
        <f>Load_Profile_15min!G221</f>
        <v/>
      </c>
      <c r="C221" s="35">
        <f>Load_Profile_15min!H221</f>
        <v/>
      </c>
      <c r="D221" s="41">
        <f>Load_Profile_15min!H221*1000</f>
        <v/>
      </c>
    </row>
    <row r="222">
      <c r="A222" s="41">
        <f>Load_Profile_15min!F222</f>
        <v/>
      </c>
      <c r="B222" s="41">
        <f>Load_Profile_15min!G222</f>
        <v/>
      </c>
      <c r="C222" s="35">
        <f>Load_Profile_15min!H222</f>
        <v/>
      </c>
      <c r="D222" s="41">
        <f>Load_Profile_15min!H222*1000</f>
        <v/>
      </c>
    </row>
    <row r="223">
      <c r="A223" s="41">
        <f>Load_Profile_15min!F223</f>
        <v/>
      </c>
      <c r="B223" s="41">
        <f>Load_Profile_15min!G223</f>
        <v/>
      </c>
      <c r="C223" s="35">
        <f>Load_Profile_15min!H223</f>
        <v/>
      </c>
      <c r="D223" s="41">
        <f>Load_Profile_15min!H223*1000</f>
        <v/>
      </c>
    </row>
    <row r="224">
      <c r="A224" s="41">
        <f>Load_Profile_15min!F224</f>
        <v/>
      </c>
      <c r="B224" s="41">
        <f>Load_Profile_15min!G224</f>
        <v/>
      </c>
      <c r="C224" s="35">
        <f>Load_Profile_15min!H224</f>
        <v/>
      </c>
      <c r="D224" s="41">
        <f>Load_Profile_15min!H224*1000</f>
        <v/>
      </c>
    </row>
    <row r="225">
      <c r="A225" s="41">
        <f>Load_Profile_15min!F225</f>
        <v/>
      </c>
      <c r="B225" s="41">
        <f>Load_Profile_15min!G225</f>
        <v/>
      </c>
      <c r="C225" s="35">
        <f>Load_Profile_15min!H225</f>
        <v/>
      </c>
      <c r="D225" s="41">
        <f>Load_Profile_15min!H225*1000</f>
        <v/>
      </c>
    </row>
    <row r="226">
      <c r="A226" s="41">
        <f>Load_Profile_15min!F226</f>
        <v/>
      </c>
      <c r="B226" s="41">
        <f>Load_Profile_15min!G226</f>
        <v/>
      </c>
      <c r="C226" s="35">
        <f>Load_Profile_15min!H226</f>
        <v/>
      </c>
      <c r="D226" s="41">
        <f>Load_Profile_15min!H226*1000</f>
        <v/>
      </c>
    </row>
    <row r="227">
      <c r="A227" s="41">
        <f>Load_Profile_15min!F227</f>
        <v/>
      </c>
      <c r="B227" s="41">
        <f>Load_Profile_15min!G227</f>
        <v/>
      </c>
      <c r="C227" s="35">
        <f>Load_Profile_15min!H227</f>
        <v/>
      </c>
      <c r="D227" s="41">
        <f>Load_Profile_15min!H227*1000</f>
        <v/>
      </c>
    </row>
    <row r="228">
      <c r="A228" s="41">
        <f>Load_Profile_15min!F228</f>
        <v/>
      </c>
      <c r="B228" s="41">
        <f>Load_Profile_15min!G228</f>
        <v/>
      </c>
      <c r="C228" s="35">
        <f>Load_Profile_15min!H228</f>
        <v/>
      </c>
      <c r="D228" s="41">
        <f>Load_Profile_15min!H228*1000</f>
        <v/>
      </c>
    </row>
    <row r="229">
      <c r="A229" s="41">
        <f>Load_Profile_15min!F229</f>
        <v/>
      </c>
      <c r="B229" s="41">
        <f>Load_Profile_15min!G229</f>
        <v/>
      </c>
      <c r="C229" s="35">
        <f>Load_Profile_15min!H229</f>
        <v/>
      </c>
      <c r="D229" s="41">
        <f>Load_Profile_15min!H229*1000</f>
        <v/>
      </c>
    </row>
    <row r="230">
      <c r="A230" s="41">
        <f>Load_Profile_15min!F230</f>
        <v/>
      </c>
      <c r="B230" s="41">
        <f>Load_Profile_15min!G230</f>
        <v/>
      </c>
      <c r="C230" s="35">
        <f>Load_Profile_15min!H230</f>
        <v/>
      </c>
      <c r="D230" s="41">
        <f>Load_Profile_15min!H230*1000</f>
        <v/>
      </c>
    </row>
    <row r="231">
      <c r="A231" s="41">
        <f>Load_Profile_15min!F231</f>
        <v/>
      </c>
      <c r="B231" s="41">
        <f>Load_Profile_15min!G231</f>
        <v/>
      </c>
      <c r="C231" s="35">
        <f>Load_Profile_15min!H231</f>
        <v/>
      </c>
      <c r="D231" s="41">
        <f>Load_Profile_15min!H231*1000</f>
        <v/>
      </c>
    </row>
    <row r="232">
      <c r="A232" s="41">
        <f>Load_Profile_15min!F232</f>
        <v/>
      </c>
      <c r="B232" s="41">
        <f>Load_Profile_15min!G232</f>
        <v/>
      </c>
      <c r="C232" s="35">
        <f>Load_Profile_15min!H232</f>
        <v/>
      </c>
      <c r="D232" s="41">
        <f>Load_Profile_15min!H232*1000</f>
        <v/>
      </c>
    </row>
    <row r="233">
      <c r="A233" s="41">
        <f>Load_Profile_15min!F233</f>
        <v/>
      </c>
      <c r="B233" s="41">
        <f>Load_Profile_15min!G233</f>
        <v/>
      </c>
      <c r="C233" s="35">
        <f>Load_Profile_15min!H233</f>
        <v/>
      </c>
      <c r="D233" s="41">
        <f>Load_Profile_15min!H233*1000</f>
        <v/>
      </c>
    </row>
    <row r="234">
      <c r="A234" s="41">
        <f>Load_Profile_15min!F234</f>
        <v/>
      </c>
      <c r="B234" s="41">
        <f>Load_Profile_15min!G234</f>
        <v/>
      </c>
      <c r="C234" s="35">
        <f>Load_Profile_15min!H234</f>
        <v/>
      </c>
      <c r="D234" s="41">
        <f>Load_Profile_15min!H234*1000</f>
        <v/>
      </c>
    </row>
    <row r="235">
      <c r="A235" s="41">
        <f>Load_Profile_15min!F235</f>
        <v/>
      </c>
      <c r="B235" s="41">
        <f>Load_Profile_15min!G235</f>
        <v/>
      </c>
      <c r="C235" s="35">
        <f>Load_Profile_15min!H235</f>
        <v/>
      </c>
      <c r="D235" s="41">
        <f>Load_Profile_15min!H235*1000</f>
        <v/>
      </c>
    </row>
    <row r="236">
      <c r="A236" s="41">
        <f>Load_Profile_15min!F236</f>
        <v/>
      </c>
      <c r="B236" s="41">
        <f>Load_Profile_15min!G236</f>
        <v/>
      </c>
      <c r="C236" s="35">
        <f>Load_Profile_15min!H236</f>
        <v/>
      </c>
      <c r="D236" s="41">
        <f>Load_Profile_15min!H236*1000</f>
        <v/>
      </c>
    </row>
    <row r="237">
      <c r="A237" s="41">
        <f>Load_Profile_15min!F237</f>
        <v/>
      </c>
      <c r="B237" s="41">
        <f>Load_Profile_15min!G237</f>
        <v/>
      </c>
      <c r="C237" s="35">
        <f>Load_Profile_15min!H237</f>
        <v/>
      </c>
      <c r="D237" s="41">
        <f>Load_Profile_15min!H237*1000</f>
        <v/>
      </c>
    </row>
    <row r="238">
      <c r="A238" s="41">
        <f>Load_Profile_15min!F238</f>
        <v/>
      </c>
      <c r="B238" s="41">
        <f>Load_Profile_15min!G238</f>
        <v/>
      </c>
      <c r="C238" s="35">
        <f>Load_Profile_15min!H238</f>
        <v/>
      </c>
      <c r="D238" s="41">
        <f>Load_Profile_15min!H238*1000</f>
        <v/>
      </c>
    </row>
    <row r="239">
      <c r="A239" s="41">
        <f>Load_Profile_15min!F239</f>
        <v/>
      </c>
      <c r="B239" s="41">
        <f>Load_Profile_15min!G239</f>
        <v/>
      </c>
      <c r="C239" s="35">
        <f>Load_Profile_15min!H239</f>
        <v/>
      </c>
      <c r="D239" s="41">
        <f>Load_Profile_15min!H239*1000</f>
        <v/>
      </c>
    </row>
    <row r="240">
      <c r="A240" s="41">
        <f>Load_Profile_15min!F240</f>
        <v/>
      </c>
      <c r="B240" s="41">
        <f>Load_Profile_15min!G240</f>
        <v/>
      </c>
      <c r="C240" s="35">
        <f>Load_Profile_15min!H240</f>
        <v/>
      </c>
      <c r="D240" s="41">
        <f>Load_Profile_15min!H240*1000</f>
        <v/>
      </c>
    </row>
    <row r="241">
      <c r="A241" s="41">
        <f>Load_Profile_15min!F241</f>
        <v/>
      </c>
      <c r="B241" s="41">
        <f>Load_Profile_15min!G241</f>
        <v/>
      </c>
      <c r="C241" s="35">
        <f>Load_Profile_15min!H241</f>
        <v/>
      </c>
      <c r="D241" s="41">
        <f>Load_Profile_15min!H241*1000</f>
        <v/>
      </c>
    </row>
    <row r="242">
      <c r="A242" s="41">
        <f>Load_Profile_15min!F242</f>
        <v/>
      </c>
      <c r="B242" s="41">
        <f>Load_Profile_15min!G242</f>
        <v/>
      </c>
      <c r="C242" s="35">
        <f>Load_Profile_15min!H242</f>
        <v/>
      </c>
      <c r="D242" s="41">
        <f>Load_Profile_15min!H242*1000</f>
        <v/>
      </c>
    </row>
    <row r="243">
      <c r="A243" s="41">
        <f>Load_Profile_15min!F243</f>
        <v/>
      </c>
      <c r="B243" s="41">
        <f>Load_Profile_15min!G243</f>
        <v/>
      </c>
      <c r="C243" s="35">
        <f>Load_Profile_15min!H243</f>
        <v/>
      </c>
      <c r="D243" s="41">
        <f>Load_Profile_15min!H243*1000</f>
        <v/>
      </c>
    </row>
    <row r="244">
      <c r="A244" s="41">
        <f>Load_Profile_15min!F244</f>
        <v/>
      </c>
      <c r="B244" s="41">
        <f>Load_Profile_15min!G244</f>
        <v/>
      </c>
      <c r="C244" s="35">
        <f>Load_Profile_15min!H244</f>
        <v/>
      </c>
      <c r="D244" s="41">
        <f>Load_Profile_15min!H244*1000</f>
        <v/>
      </c>
    </row>
    <row r="245">
      <c r="A245" s="41">
        <f>Load_Profile_15min!F245</f>
        <v/>
      </c>
      <c r="B245" s="41">
        <f>Load_Profile_15min!G245</f>
        <v/>
      </c>
      <c r="C245" s="35">
        <f>Load_Profile_15min!H245</f>
        <v/>
      </c>
      <c r="D245" s="41">
        <f>Load_Profile_15min!H245*1000</f>
        <v/>
      </c>
    </row>
    <row r="246">
      <c r="A246" s="41">
        <f>Load_Profile_15min!F246</f>
        <v/>
      </c>
      <c r="B246" s="41">
        <f>Load_Profile_15min!G246</f>
        <v/>
      </c>
      <c r="C246" s="35">
        <f>Load_Profile_15min!H246</f>
        <v/>
      </c>
      <c r="D246" s="41">
        <f>Load_Profile_15min!H246*1000</f>
        <v/>
      </c>
    </row>
    <row r="247">
      <c r="A247" s="41">
        <f>Load_Profile_15min!F247</f>
        <v/>
      </c>
      <c r="B247" s="41">
        <f>Load_Profile_15min!G247</f>
        <v/>
      </c>
      <c r="C247" s="35">
        <f>Load_Profile_15min!H247</f>
        <v/>
      </c>
      <c r="D247" s="41">
        <f>Load_Profile_15min!H247*1000</f>
        <v/>
      </c>
    </row>
    <row r="248">
      <c r="A248" s="41">
        <f>Load_Profile_15min!F248</f>
        <v/>
      </c>
      <c r="B248" s="41">
        <f>Load_Profile_15min!G248</f>
        <v/>
      </c>
      <c r="C248" s="35">
        <f>Load_Profile_15min!H248</f>
        <v/>
      </c>
      <c r="D248" s="41">
        <f>Load_Profile_15min!H248*1000</f>
        <v/>
      </c>
    </row>
    <row r="249">
      <c r="A249" s="41">
        <f>Load_Profile_15min!F249</f>
        <v/>
      </c>
      <c r="B249" s="41">
        <f>Load_Profile_15min!G249</f>
        <v/>
      </c>
      <c r="C249" s="35">
        <f>Load_Profile_15min!H249</f>
        <v/>
      </c>
      <c r="D249" s="41">
        <f>Load_Profile_15min!H249*1000</f>
        <v/>
      </c>
    </row>
    <row r="250">
      <c r="A250" s="41">
        <f>Load_Profile_15min!F250</f>
        <v/>
      </c>
      <c r="B250" s="41">
        <f>Load_Profile_15min!G250</f>
        <v/>
      </c>
      <c r="C250" s="35">
        <f>Load_Profile_15min!H250</f>
        <v/>
      </c>
      <c r="D250" s="41">
        <f>Load_Profile_15min!H250*1000</f>
        <v/>
      </c>
    </row>
    <row r="251">
      <c r="A251" s="41">
        <f>Load_Profile_15min!F251</f>
        <v/>
      </c>
      <c r="B251" s="41">
        <f>Load_Profile_15min!G251</f>
        <v/>
      </c>
      <c r="C251" s="35">
        <f>Load_Profile_15min!H251</f>
        <v/>
      </c>
      <c r="D251" s="41">
        <f>Load_Profile_15min!H251*1000</f>
        <v/>
      </c>
    </row>
    <row r="252">
      <c r="A252" s="41">
        <f>Load_Profile_15min!F252</f>
        <v/>
      </c>
      <c r="B252" s="41">
        <f>Load_Profile_15min!G252</f>
        <v/>
      </c>
      <c r="C252" s="35">
        <f>Load_Profile_15min!H252</f>
        <v/>
      </c>
      <c r="D252" s="41">
        <f>Load_Profile_15min!H252*1000</f>
        <v/>
      </c>
    </row>
    <row r="253">
      <c r="A253" s="41">
        <f>Load_Profile_15min!F253</f>
        <v/>
      </c>
      <c r="B253" s="41">
        <f>Load_Profile_15min!G253</f>
        <v/>
      </c>
      <c r="C253" s="35">
        <f>Load_Profile_15min!H253</f>
        <v/>
      </c>
      <c r="D253" s="41">
        <f>Load_Profile_15min!H253*1000</f>
        <v/>
      </c>
    </row>
    <row r="254">
      <c r="A254" s="41">
        <f>Load_Profile_15min!F254</f>
        <v/>
      </c>
      <c r="B254" s="41">
        <f>Load_Profile_15min!G254</f>
        <v/>
      </c>
      <c r="C254" s="35">
        <f>Load_Profile_15min!H254</f>
        <v/>
      </c>
      <c r="D254" s="41">
        <f>Load_Profile_15min!H254*1000</f>
        <v/>
      </c>
    </row>
    <row r="255">
      <c r="A255" s="41">
        <f>Load_Profile_15min!F255</f>
        <v/>
      </c>
      <c r="B255" s="41">
        <f>Load_Profile_15min!G255</f>
        <v/>
      </c>
      <c r="C255" s="35">
        <f>Load_Profile_15min!H255</f>
        <v/>
      </c>
      <c r="D255" s="41">
        <f>Load_Profile_15min!H255*1000</f>
        <v/>
      </c>
    </row>
    <row r="256">
      <c r="A256" s="41">
        <f>Load_Profile_15min!F256</f>
        <v/>
      </c>
      <c r="B256" s="41">
        <f>Load_Profile_15min!G256</f>
        <v/>
      </c>
      <c r="C256" s="35">
        <f>Load_Profile_15min!H256</f>
        <v/>
      </c>
      <c r="D256" s="41">
        <f>Load_Profile_15min!H256*1000</f>
        <v/>
      </c>
    </row>
    <row r="257">
      <c r="A257" s="41">
        <f>Load_Profile_15min!F257</f>
        <v/>
      </c>
      <c r="B257" s="41">
        <f>Load_Profile_15min!G257</f>
        <v/>
      </c>
      <c r="C257" s="35">
        <f>Load_Profile_15min!H257</f>
        <v/>
      </c>
      <c r="D257" s="41">
        <f>Load_Profile_15min!H257*1000</f>
        <v/>
      </c>
    </row>
    <row r="258">
      <c r="A258" s="41">
        <f>Load_Profile_15min!F258</f>
        <v/>
      </c>
      <c r="B258" s="41">
        <f>Load_Profile_15min!G258</f>
        <v/>
      </c>
      <c r="C258" s="35">
        <f>Load_Profile_15min!H258</f>
        <v/>
      </c>
      <c r="D258" s="41">
        <f>Load_Profile_15min!H258*1000</f>
        <v/>
      </c>
    </row>
    <row r="259">
      <c r="A259" s="41">
        <f>Load_Profile_15min!F259</f>
        <v/>
      </c>
      <c r="B259" s="41">
        <f>Load_Profile_15min!G259</f>
        <v/>
      </c>
      <c r="C259" s="35">
        <f>Load_Profile_15min!H259</f>
        <v/>
      </c>
      <c r="D259" s="41">
        <f>Load_Profile_15min!H259*1000</f>
        <v/>
      </c>
    </row>
    <row r="260">
      <c r="A260" s="41">
        <f>Load_Profile_15min!F260</f>
        <v/>
      </c>
      <c r="B260" s="41">
        <f>Load_Profile_15min!G260</f>
        <v/>
      </c>
      <c r="C260" s="35">
        <f>Load_Profile_15min!H260</f>
        <v/>
      </c>
      <c r="D260" s="41">
        <f>Load_Profile_15min!H260*1000</f>
        <v/>
      </c>
    </row>
    <row r="261">
      <c r="A261" s="41">
        <f>Load_Profile_15min!F261</f>
        <v/>
      </c>
      <c r="B261" s="41">
        <f>Load_Profile_15min!G261</f>
        <v/>
      </c>
      <c r="C261" s="35">
        <f>Load_Profile_15min!H261</f>
        <v/>
      </c>
      <c r="D261" s="41">
        <f>Load_Profile_15min!H261*1000</f>
        <v/>
      </c>
    </row>
    <row r="262">
      <c r="A262" s="41">
        <f>Load_Profile_15min!F262</f>
        <v/>
      </c>
      <c r="B262" s="41">
        <f>Load_Profile_15min!G262</f>
        <v/>
      </c>
      <c r="C262" s="35">
        <f>Load_Profile_15min!H262</f>
        <v/>
      </c>
      <c r="D262" s="41">
        <f>Load_Profile_15min!H262*1000</f>
        <v/>
      </c>
    </row>
    <row r="263">
      <c r="A263" s="41">
        <f>Load_Profile_15min!F263</f>
        <v/>
      </c>
      <c r="B263" s="41">
        <f>Load_Profile_15min!G263</f>
        <v/>
      </c>
      <c r="C263" s="35">
        <f>Load_Profile_15min!H263</f>
        <v/>
      </c>
      <c r="D263" s="41">
        <f>Load_Profile_15min!H263*1000</f>
        <v/>
      </c>
    </row>
    <row r="264">
      <c r="A264" s="41">
        <f>Load_Profile_15min!F264</f>
        <v/>
      </c>
      <c r="B264" s="41">
        <f>Load_Profile_15min!G264</f>
        <v/>
      </c>
      <c r="C264" s="35">
        <f>Load_Profile_15min!H264</f>
        <v/>
      </c>
      <c r="D264" s="41">
        <f>Load_Profile_15min!H264*1000</f>
        <v/>
      </c>
    </row>
    <row r="265">
      <c r="A265" s="41">
        <f>Load_Profile_15min!F265</f>
        <v/>
      </c>
      <c r="B265" s="41">
        <f>Load_Profile_15min!G265</f>
        <v/>
      </c>
      <c r="C265" s="35">
        <f>Load_Profile_15min!H265</f>
        <v/>
      </c>
      <c r="D265" s="41">
        <f>Load_Profile_15min!H265*1000</f>
        <v/>
      </c>
    </row>
    <row r="266">
      <c r="A266" s="41">
        <f>Load_Profile_15min!F266</f>
        <v/>
      </c>
      <c r="B266" s="41">
        <f>Load_Profile_15min!G266</f>
        <v/>
      </c>
      <c r="C266" s="35">
        <f>Load_Profile_15min!H266</f>
        <v/>
      </c>
      <c r="D266" s="41">
        <f>Load_Profile_15min!H266*1000</f>
        <v/>
      </c>
    </row>
    <row r="267">
      <c r="A267" s="41">
        <f>Load_Profile_15min!F267</f>
        <v/>
      </c>
      <c r="B267" s="41">
        <f>Load_Profile_15min!G267</f>
        <v/>
      </c>
      <c r="C267" s="35">
        <f>Load_Profile_15min!H267</f>
        <v/>
      </c>
      <c r="D267" s="41">
        <f>Load_Profile_15min!H267*1000</f>
        <v/>
      </c>
    </row>
    <row r="268">
      <c r="A268" s="41">
        <f>Load_Profile_15min!F268</f>
        <v/>
      </c>
      <c r="B268" s="41">
        <f>Load_Profile_15min!G268</f>
        <v/>
      </c>
      <c r="C268" s="35">
        <f>Load_Profile_15min!H268</f>
        <v/>
      </c>
      <c r="D268" s="41">
        <f>Load_Profile_15min!H268*1000</f>
        <v/>
      </c>
    </row>
    <row r="269">
      <c r="A269" s="41">
        <f>Load_Profile_15min!F269</f>
        <v/>
      </c>
      <c r="B269" s="41">
        <f>Load_Profile_15min!G269</f>
        <v/>
      </c>
      <c r="C269" s="35">
        <f>Load_Profile_15min!H269</f>
        <v/>
      </c>
      <c r="D269" s="41">
        <f>Load_Profile_15min!H269*1000</f>
        <v/>
      </c>
    </row>
    <row r="270">
      <c r="A270" s="41">
        <f>Load_Profile_15min!F270</f>
        <v/>
      </c>
      <c r="B270" s="41">
        <f>Load_Profile_15min!G270</f>
        <v/>
      </c>
      <c r="C270" s="35">
        <f>Load_Profile_15min!H270</f>
        <v/>
      </c>
      <c r="D270" s="41">
        <f>Load_Profile_15min!H270*1000</f>
        <v/>
      </c>
    </row>
    <row r="271">
      <c r="A271" s="41">
        <f>Load_Profile_15min!F271</f>
        <v/>
      </c>
      <c r="B271" s="41">
        <f>Load_Profile_15min!G271</f>
        <v/>
      </c>
      <c r="C271" s="35">
        <f>Load_Profile_15min!H271</f>
        <v/>
      </c>
      <c r="D271" s="41">
        <f>Load_Profile_15min!H271*1000</f>
        <v/>
      </c>
    </row>
    <row r="272">
      <c r="A272" s="41">
        <f>Load_Profile_15min!F272</f>
        <v/>
      </c>
      <c r="B272" s="41">
        <f>Load_Profile_15min!G272</f>
        <v/>
      </c>
      <c r="C272" s="35">
        <f>Load_Profile_15min!H272</f>
        <v/>
      </c>
      <c r="D272" s="41">
        <f>Load_Profile_15min!H272*1000</f>
        <v/>
      </c>
    </row>
    <row r="273">
      <c r="A273" s="41">
        <f>Load_Profile_15min!F273</f>
        <v/>
      </c>
      <c r="B273" s="41">
        <f>Load_Profile_15min!G273</f>
        <v/>
      </c>
      <c r="C273" s="35">
        <f>Load_Profile_15min!H273</f>
        <v/>
      </c>
      <c r="D273" s="41">
        <f>Load_Profile_15min!H273*1000</f>
        <v/>
      </c>
    </row>
    <row r="274">
      <c r="A274" s="41">
        <f>Load_Profile_15min!F274</f>
        <v/>
      </c>
      <c r="B274" s="41">
        <f>Load_Profile_15min!G274</f>
        <v/>
      </c>
      <c r="C274" s="35">
        <f>Load_Profile_15min!H274</f>
        <v/>
      </c>
      <c r="D274" s="41">
        <f>Load_Profile_15min!H274*1000</f>
        <v/>
      </c>
    </row>
    <row r="275">
      <c r="A275" s="41">
        <f>Load_Profile_15min!F275</f>
        <v/>
      </c>
      <c r="B275" s="41">
        <f>Load_Profile_15min!G275</f>
        <v/>
      </c>
      <c r="C275" s="35">
        <f>Load_Profile_15min!H275</f>
        <v/>
      </c>
      <c r="D275" s="41">
        <f>Load_Profile_15min!H275*1000</f>
        <v/>
      </c>
    </row>
    <row r="276">
      <c r="A276" s="41">
        <f>Load_Profile_15min!F276</f>
        <v/>
      </c>
      <c r="B276" s="41">
        <f>Load_Profile_15min!G276</f>
        <v/>
      </c>
      <c r="C276" s="35">
        <f>Load_Profile_15min!H276</f>
        <v/>
      </c>
      <c r="D276" s="41">
        <f>Load_Profile_15min!H276*1000</f>
        <v/>
      </c>
    </row>
    <row r="277">
      <c r="A277" s="41">
        <f>Load_Profile_15min!F277</f>
        <v/>
      </c>
      <c r="B277" s="41">
        <f>Load_Profile_15min!G277</f>
        <v/>
      </c>
      <c r="C277" s="35">
        <f>Load_Profile_15min!H277</f>
        <v/>
      </c>
      <c r="D277" s="41">
        <f>Load_Profile_15min!H277*1000</f>
        <v/>
      </c>
    </row>
    <row r="278">
      <c r="A278" s="41">
        <f>Load_Profile_15min!F278</f>
        <v/>
      </c>
      <c r="B278" s="41">
        <f>Load_Profile_15min!G278</f>
        <v/>
      </c>
      <c r="C278" s="35">
        <f>Load_Profile_15min!H278</f>
        <v/>
      </c>
      <c r="D278" s="41">
        <f>Load_Profile_15min!H278*1000</f>
        <v/>
      </c>
    </row>
    <row r="279">
      <c r="A279" s="41">
        <f>Load_Profile_15min!F279</f>
        <v/>
      </c>
      <c r="B279" s="41">
        <f>Load_Profile_15min!G279</f>
        <v/>
      </c>
      <c r="C279" s="35">
        <f>Load_Profile_15min!H279</f>
        <v/>
      </c>
      <c r="D279" s="41">
        <f>Load_Profile_15min!H279*1000</f>
        <v/>
      </c>
    </row>
    <row r="280">
      <c r="A280" s="41">
        <f>Load_Profile_15min!F280</f>
        <v/>
      </c>
      <c r="B280" s="41">
        <f>Load_Profile_15min!G280</f>
        <v/>
      </c>
      <c r="C280" s="35">
        <f>Load_Profile_15min!H280</f>
        <v/>
      </c>
      <c r="D280" s="41">
        <f>Load_Profile_15min!H280*1000</f>
        <v/>
      </c>
    </row>
    <row r="281">
      <c r="A281" s="41">
        <f>Load_Profile_15min!F281</f>
        <v/>
      </c>
      <c r="B281" s="41">
        <f>Load_Profile_15min!G281</f>
        <v/>
      </c>
      <c r="C281" s="35">
        <f>Load_Profile_15min!H281</f>
        <v/>
      </c>
      <c r="D281" s="41">
        <f>Load_Profile_15min!H281*1000</f>
        <v/>
      </c>
    </row>
    <row r="282">
      <c r="A282" s="41">
        <f>Load_Profile_15min!F282</f>
        <v/>
      </c>
      <c r="B282" s="41">
        <f>Load_Profile_15min!G282</f>
        <v/>
      </c>
      <c r="C282" s="35">
        <f>Load_Profile_15min!H282</f>
        <v/>
      </c>
      <c r="D282" s="41">
        <f>Load_Profile_15min!H282*1000</f>
        <v/>
      </c>
    </row>
    <row r="283">
      <c r="A283" s="41">
        <f>Load_Profile_15min!F283</f>
        <v/>
      </c>
      <c r="B283" s="41">
        <f>Load_Profile_15min!G283</f>
        <v/>
      </c>
      <c r="C283" s="35">
        <f>Load_Profile_15min!H283</f>
        <v/>
      </c>
      <c r="D283" s="41">
        <f>Load_Profile_15min!H283*1000</f>
        <v/>
      </c>
    </row>
    <row r="284">
      <c r="A284" s="41">
        <f>Load_Profile_15min!F284</f>
        <v/>
      </c>
      <c r="B284" s="41">
        <f>Load_Profile_15min!G284</f>
        <v/>
      </c>
      <c r="C284" s="35">
        <f>Load_Profile_15min!H284</f>
        <v/>
      </c>
      <c r="D284" s="41">
        <f>Load_Profile_15min!H284*1000</f>
        <v/>
      </c>
    </row>
    <row r="285">
      <c r="A285" s="41">
        <f>Load_Profile_15min!F285</f>
        <v/>
      </c>
      <c r="B285" s="41">
        <f>Load_Profile_15min!G285</f>
        <v/>
      </c>
      <c r="C285" s="35">
        <f>Load_Profile_15min!H285</f>
        <v/>
      </c>
      <c r="D285" s="41">
        <f>Load_Profile_15min!H285*1000</f>
        <v/>
      </c>
    </row>
    <row r="286">
      <c r="A286" s="41">
        <f>Load_Profile_15min!F286</f>
        <v/>
      </c>
      <c r="B286" s="41">
        <f>Load_Profile_15min!G286</f>
        <v/>
      </c>
      <c r="C286" s="35">
        <f>Load_Profile_15min!H286</f>
        <v/>
      </c>
      <c r="D286" s="41">
        <f>Load_Profile_15min!H286*1000</f>
        <v/>
      </c>
    </row>
    <row r="287">
      <c r="A287" s="41">
        <f>Load_Profile_15min!F287</f>
        <v/>
      </c>
      <c r="B287" s="41">
        <f>Load_Profile_15min!G287</f>
        <v/>
      </c>
      <c r="C287" s="35">
        <f>Load_Profile_15min!H287</f>
        <v/>
      </c>
      <c r="D287" s="41">
        <f>Load_Profile_15min!H287*1000</f>
        <v/>
      </c>
    </row>
    <row r="288">
      <c r="A288" s="41">
        <f>Load_Profile_15min!F288</f>
        <v/>
      </c>
      <c r="B288" s="41">
        <f>Load_Profile_15min!G288</f>
        <v/>
      </c>
      <c r="C288" s="35">
        <f>Load_Profile_15min!H288</f>
        <v/>
      </c>
      <c r="D288" s="41">
        <f>Load_Profile_15min!H288*1000</f>
        <v/>
      </c>
    </row>
    <row r="289">
      <c r="A289" s="41">
        <f>Load_Profile_15min!F289</f>
        <v/>
      </c>
      <c r="B289" s="41">
        <f>Load_Profile_15min!G289</f>
        <v/>
      </c>
      <c r="C289" s="35">
        <f>Load_Profile_15min!H289</f>
        <v/>
      </c>
      <c r="D289" s="41">
        <f>Load_Profile_15min!H289*1000</f>
        <v/>
      </c>
    </row>
    <row r="290">
      <c r="A290" s="41">
        <f>Load_Profile_15min!F290</f>
        <v/>
      </c>
      <c r="B290" s="41">
        <f>Load_Profile_15min!G290</f>
        <v/>
      </c>
      <c r="C290" s="35">
        <f>Load_Profile_15min!H290</f>
        <v/>
      </c>
      <c r="D290" s="41">
        <f>Load_Profile_15min!H290*1000</f>
        <v/>
      </c>
    </row>
    <row r="291">
      <c r="A291" s="41">
        <f>Load_Profile_15min!F291</f>
        <v/>
      </c>
      <c r="B291" s="41">
        <f>Load_Profile_15min!G291</f>
        <v/>
      </c>
      <c r="C291" s="35">
        <f>Load_Profile_15min!H291</f>
        <v/>
      </c>
      <c r="D291" s="41">
        <f>Load_Profile_15min!H291*1000</f>
        <v/>
      </c>
    </row>
    <row r="292">
      <c r="A292" s="41">
        <f>Load_Profile_15min!F292</f>
        <v/>
      </c>
      <c r="B292" s="41">
        <f>Load_Profile_15min!G292</f>
        <v/>
      </c>
      <c r="C292" s="35">
        <f>Load_Profile_15min!H292</f>
        <v/>
      </c>
      <c r="D292" s="41">
        <f>Load_Profile_15min!H292*1000</f>
        <v/>
      </c>
    </row>
    <row r="293">
      <c r="A293" s="41">
        <f>Load_Profile_15min!F293</f>
        <v/>
      </c>
      <c r="B293" s="41">
        <f>Load_Profile_15min!G293</f>
        <v/>
      </c>
      <c r="C293" s="35">
        <f>Load_Profile_15min!H293</f>
        <v/>
      </c>
      <c r="D293" s="41">
        <f>Load_Profile_15min!H293*1000</f>
        <v/>
      </c>
    </row>
    <row r="294">
      <c r="A294" s="41">
        <f>Load_Profile_15min!F294</f>
        <v/>
      </c>
      <c r="B294" s="41">
        <f>Load_Profile_15min!G294</f>
        <v/>
      </c>
      <c r="C294" s="35">
        <f>Load_Profile_15min!H294</f>
        <v/>
      </c>
      <c r="D294" s="41">
        <f>Load_Profile_15min!H294*1000</f>
        <v/>
      </c>
    </row>
    <row r="295">
      <c r="A295" s="41">
        <f>Load_Profile_15min!F295</f>
        <v/>
      </c>
      <c r="B295" s="41">
        <f>Load_Profile_15min!G295</f>
        <v/>
      </c>
      <c r="C295" s="35">
        <f>Load_Profile_15min!H295</f>
        <v/>
      </c>
      <c r="D295" s="41">
        <f>Load_Profile_15min!H295*1000</f>
        <v/>
      </c>
    </row>
    <row r="296">
      <c r="A296" s="41">
        <f>Load_Profile_15min!F296</f>
        <v/>
      </c>
      <c r="B296" s="41">
        <f>Load_Profile_15min!G296</f>
        <v/>
      </c>
      <c r="C296" s="35">
        <f>Load_Profile_15min!H296</f>
        <v/>
      </c>
      <c r="D296" s="41">
        <f>Load_Profile_15min!H296*1000</f>
        <v/>
      </c>
    </row>
    <row r="297">
      <c r="A297" s="41">
        <f>Load_Profile_15min!F297</f>
        <v/>
      </c>
      <c r="B297" s="41">
        <f>Load_Profile_15min!G297</f>
        <v/>
      </c>
      <c r="C297" s="35">
        <f>Load_Profile_15min!H297</f>
        <v/>
      </c>
      <c r="D297" s="41">
        <f>Load_Profile_15min!H297*1000</f>
        <v/>
      </c>
    </row>
    <row r="298">
      <c r="A298" s="41">
        <f>Load_Profile_15min!F298</f>
        <v/>
      </c>
      <c r="B298" s="41">
        <f>Load_Profile_15min!G298</f>
        <v/>
      </c>
      <c r="C298" s="35">
        <f>Load_Profile_15min!H298</f>
        <v/>
      </c>
      <c r="D298" s="41">
        <f>Load_Profile_15min!H298*1000</f>
        <v/>
      </c>
    </row>
    <row r="299">
      <c r="A299" s="41">
        <f>Load_Profile_15min!F299</f>
        <v/>
      </c>
      <c r="B299" s="41">
        <f>Load_Profile_15min!G299</f>
        <v/>
      </c>
      <c r="C299" s="35">
        <f>Load_Profile_15min!H299</f>
        <v/>
      </c>
      <c r="D299" s="41">
        <f>Load_Profile_15min!H299*1000</f>
        <v/>
      </c>
    </row>
    <row r="300">
      <c r="A300" s="41">
        <f>Load_Profile_15min!F300</f>
        <v/>
      </c>
      <c r="B300" s="41">
        <f>Load_Profile_15min!G300</f>
        <v/>
      </c>
      <c r="C300" s="35">
        <f>Load_Profile_15min!H300</f>
        <v/>
      </c>
      <c r="D300" s="41">
        <f>Load_Profile_15min!H300*1000</f>
        <v/>
      </c>
    </row>
    <row r="301">
      <c r="A301" s="41">
        <f>Load_Profile_15min!F301</f>
        <v/>
      </c>
      <c r="B301" s="41">
        <f>Load_Profile_15min!G301</f>
        <v/>
      </c>
      <c r="C301" s="35">
        <f>Load_Profile_15min!H301</f>
        <v/>
      </c>
      <c r="D301" s="41">
        <f>Load_Profile_15min!H301*1000</f>
        <v/>
      </c>
    </row>
    <row r="302">
      <c r="A302" s="41">
        <f>Load_Profile_15min!F302</f>
        <v/>
      </c>
      <c r="B302" s="41">
        <f>Load_Profile_15min!G302</f>
        <v/>
      </c>
      <c r="C302" s="35">
        <f>Load_Profile_15min!H302</f>
        <v/>
      </c>
      <c r="D302" s="41">
        <f>Load_Profile_15min!H302*1000</f>
        <v/>
      </c>
    </row>
    <row r="303">
      <c r="A303" s="41">
        <f>Load_Profile_15min!F303</f>
        <v/>
      </c>
      <c r="B303" s="41">
        <f>Load_Profile_15min!G303</f>
        <v/>
      </c>
      <c r="C303" s="35">
        <f>Load_Profile_15min!H303</f>
        <v/>
      </c>
      <c r="D303" s="41">
        <f>Load_Profile_15min!H303*1000</f>
        <v/>
      </c>
    </row>
    <row r="304">
      <c r="A304" s="41">
        <f>Load_Profile_15min!F304</f>
        <v/>
      </c>
      <c r="B304" s="41">
        <f>Load_Profile_15min!G304</f>
        <v/>
      </c>
      <c r="C304" s="35">
        <f>Load_Profile_15min!H304</f>
        <v/>
      </c>
      <c r="D304" s="41">
        <f>Load_Profile_15min!H304*1000</f>
        <v/>
      </c>
    </row>
    <row r="305">
      <c r="A305" s="41">
        <f>Load_Profile_15min!F305</f>
        <v/>
      </c>
      <c r="B305" s="41">
        <f>Load_Profile_15min!G305</f>
        <v/>
      </c>
      <c r="C305" s="35">
        <f>Load_Profile_15min!H305</f>
        <v/>
      </c>
      <c r="D305" s="41">
        <f>Load_Profile_15min!H305*1000</f>
        <v/>
      </c>
    </row>
    <row r="306">
      <c r="A306" s="41">
        <f>Load_Profile_15min!F306</f>
        <v/>
      </c>
      <c r="B306" s="41">
        <f>Load_Profile_15min!G306</f>
        <v/>
      </c>
      <c r="C306" s="35">
        <f>Load_Profile_15min!H306</f>
        <v/>
      </c>
      <c r="D306" s="41">
        <f>Load_Profile_15min!H306*1000</f>
        <v/>
      </c>
    </row>
    <row r="307">
      <c r="A307" s="41">
        <f>Load_Profile_15min!F307</f>
        <v/>
      </c>
      <c r="B307" s="41">
        <f>Load_Profile_15min!G307</f>
        <v/>
      </c>
      <c r="C307" s="35">
        <f>Load_Profile_15min!H307</f>
        <v/>
      </c>
      <c r="D307" s="41">
        <f>Load_Profile_15min!H307*1000</f>
        <v/>
      </c>
    </row>
    <row r="308">
      <c r="A308" s="41">
        <f>Load_Profile_15min!F308</f>
        <v/>
      </c>
      <c r="B308" s="41">
        <f>Load_Profile_15min!G308</f>
        <v/>
      </c>
      <c r="C308" s="35">
        <f>Load_Profile_15min!H308</f>
        <v/>
      </c>
      <c r="D308" s="41">
        <f>Load_Profile_15min!H308*1000</f>
        <v/>
      </c>
    </row>
    <row r="309">
      <c r="A309" s="41">
        <f>Load_Profile_15min!F309</f>
        <v/>
      </c>
      <c r="B309" s="41">
        <f>Load_Profile_15min!G309</f>
        <v/>
      </c>
      <c r="C309" s="35">
        <f>Load_Profile_15min!H309</f>
        <v/>
      </c>
      <c r="D309" s="41">
        <f>Load_Profile_15min!H309*1000</f>
        <v/>
      </c>
    </row>
    <row r="310">
      <c r="A310" s="41">
        <f>Load_Profile_15min!F310</f>
        <v/>
      </c>
      <c r="B310" s="41">
        <f>Load_Profile_15min!G310</f>
        <v/>
      </c>
      <c r="C310" s="35">
        <f>Load_Profile_15min!H310</f>
        <v/>
      </c>
      <c r="D310" s="41">
        <f>Load_Profile_15min!H310*1000</f>
        <v/>
      </c>
    </row>
    <row r="311">
      <c r="A311" s="41">
        <f>Load_Profile_15min!F311</f>
        <v/>
      </c>
      <c r="B311" s="41">
        <f>Load_Profile_15min!G311</f>
        <v/>
      </c>
      <c r="C311" s="35">
        <f>Load_Profile_15min!H311</f>
        <v/>
      </c>
      <c r="D311" s="41">
        <f>Load_Profile_15min!H311*1000</f>
        <v/>
      </c>
    </row>
    <row r="312">
      <c r="A312" s="41">
        <f>Load_Profile_15min!F312</f>
        <v/>
      </c>
      <c r="B312" s="41">
        <f>Load_Profile_15min!G312</f>
        <v/>
      </c>
      <c r="C312" s="35">
        <f>Load_Profile_15min!H312</f>
        <v/>
      </c>
      <c r="D312" s="41">
        <f>Load_Profile_15min!H312*1000</f>
        <v/>
      </c>
    </row>
    <row r="313">
      <c r="A313" s="41">
        <f>Load_Profile_15min!F313</f>
        <v/>
      </c>
      <c r="B313" s="41">
        <f>Load_Profile_15min!G313</f>
        <v/>
      </c>
      <c r="C313" s="35">
        <f>Load_Profile_15min!H313</f>
        <v/>
      </c>
      <c r="D313" s="41">
        <f>Load_Profile_15min!H313*1000</f>
        <v/>
      </c>
    </row>
    <row r="314">
      <c r="A314" s="41">
        <f>Load_Profile_15min!F314</f>
        <v/>
      </c>
      <c r="B314" s="41">
        <f>Load_Profile_15min!G314</f>
        <v/>
      </c>
      <c r="C314" s="35">
        <f>Load_Profile_15min!H314</f>
        <v/>
      </c>
      <c r="D314" s="41">
        <f>Load_Profile_15min!H314*1000</f>
        <v/>
      </c>
    </row>
    <row r="315">
      <c r="A315" s="41">
        <f>Load_Profile_15min!F315</f>
        <v/>
      </c>
      <c r="B315" s="41">
        <f>Load_Profile_15min!G315</f>
        <v/>
      </c>
      <c r="C315" s="35">
        <f>Load_Profile_15min!H315</f>
        <v/>
      </c>
      <c r="D315" s="41">
        <f>Load_Profile_15min!H315*1000</f>
        <v/>
      </c>
    </row>
    <row r="316">
      <c r="A316" s="41">
        <f>Load_Profile_15min!F316</f>
        <v/>
      </c>
      <c r="B316" s="41">
        <f>Load_Profile_15min!G316</f>
        <v/>
      </c>
      <c r="C316" s="35">
        <f>Load_Profile_15min!H316</f>
        <v/>
      </c>
      <c r="D316" s="41">
        <f>Load_Profile_15min!H316*1000</f>
        <v/>
      </c>
    </row>
    <row r="317">
      <c r="A317" s="41">
        <f>Load_Profile_15min!F317</f>
        <v/>
      </c>
      <c r="B317" s="41">
        <f>Load_Profile_15min!G317</f>
        <v/>
      </c>
      <c r="C317" s="35">
        <f>Load_Profile_15min!H317</f>
        <v/>
      </c>
      <c r="D317" s="41">
        <f>Load_Profile_15min!H317*1000</f>
        <v/>
      </c>
    </row>
    <row r="318">
      <c r="A318" s="41">
        <f>Load_Profile_15min!F318</f>
        <v/>
      </c>
      <c r="B318" s="41">
        <f>Load_Profile_15min!G318</f>
        <v/>
      </c>
      <c r="C318" s="35">
        <f>Load_Profile_15min!H318</f>
        <v/>
      </c>
      <c r="D318" s="41">
        <f>Load_Profile_15min!H318*1000</f>
        <v/>
      </c>
    </row>
    <row r="319">
      <c r="A319" s="41">
        <f>Load_Profile_15min!F319</f>
        <v/>
      </c>
      <c r="B319" s="41">
        <f>Load_Profile_15min!G319</f>
        <v/>
      </c>
      <c r="C319" s="35">
        <f>Load_Profile_15min!H319</f>
        <v/>
      </c>
      <c r="D319" s="41">
        <f>Load_Profile_15min!H319*1000</f>
        <v/>
      </c>
    </row>
    <row r="320">
      <c r="A320" s="41">
        <f>Load_Profile_15min!F320</f>
        <v/>
      </c>
      <c r="B320" s="41">
        <f>Load_Profile_15min!G320</f>
        <v/>
      </c>
      <c r="C320" s="35">
        <f>Load_Profile_15min!H320</f>
        <v/>
      </c>
      <c r="D320" s="41">
        <f>Load_Profile_15min!H320*1000</f>
        <v/>
      </c>
    </row>
    <row r="321">
      <c r="A321" s="41">
        <f>Load_Profile_15min!F321</f>
        <v/>
      </c>
      <c r="B321" s="41">
        <f>Load_Profile_15min!G321</f>
        <v/>
      </c>
      <c r="C321" s="35">
        <f>Load_Profile_15min!H321</f>
        <v/>
      </c>
      <c r="D321" s="41">
        <f>Load_Profile_15min!H321*1000</f>
        <v/>
      </c>
    </row>
    <row r="322">
      <c r="A322" s="41">
        <f>Load_Profile_15min!F322</f>
        <v/>
      </c>
      <c r="B322" s="41">
        <f>Load_Profile_15min!G322</f>
        <v/>
      </c>
      <c r="C322" s="35">
        <f>Load_Profile_15min!H322</f>
        <v/>
      </c>
      <c r="D322" s="41">
        <f>Load_Profile_15min!H322*1000</f>
        <v/>
      </c>
    </row>
    <row r="323">
      <c r="A323" s="41">
        <f>Load_Profile_15min!F323</f>
        <v/>
      </c>
      <c r="B323" s="41">
        <f>Load_Profile_15min!G323</f>
        <v/>
      </c>
      <c r="C323" s="35">
        <f>Load_Profile_15min!H323</f>
        <v/>
      </c>
      <c r="D323" s="41">
        <f>Load_Profile_15min!H323*1000</f>
        <v/>
      </c>
    </row>
    <row r="324">
      <c r="A324" s="41">
        <f>Load_Profile_15min!F324</f>
        <v/>
      </c>
      <c r="B324" s="41">
        <f>Load_Profile_15min!G324</f>
        <v/>
      </c>
      <c r="C324" s="35">
        <f>Load_Profile_15min!H324</f>
        <v/>
      </c>
      <c r="D324" s="41">
        <f>Load_Profile_15min!H324*1000</f>
        <v/>
      </c>
    </row>
    <row r="325">
      <c r="A325" s="41">
        <f>Load_Profile_15min!F325</f>
        <v/>
      </c>
      <c r="B325" s="41">
        <f>Load_Profile_15min!G325</f>
        <v/>
      </c>
      <c r="C325" s="35">
        <f>Load_Profile_15min!H325</f>
        <v/>
      </c>
      <c r="D325" s="41">
        <f>Load_Profile_15min!H325*1000</f>
        <v/>
      </c>
    </row>
    <row r="326">
      <c r="A326" s="41">
        <f>Load_Profile_15min!F326</f>
        <v/>
      </c>
      <c r="B326" s="41">
        <f>Load_Profile_15min!G326</f>
        <v/>
      </c>
      <c r="C326" s="35">
        <f>Load_Profile_15min!H326</f>
        <v/>
      </c>
      <c r="D326" s="41">
        <f>Load_Profile_15min!H326*1000</f>
        <v/>
      </c>
    </row>
    <row r="327">
      <c r="A327" s="41">
        <f>Load_Profile_15min!F327</f>
        <v/>
      </c>
      <c r="B327" s="41">
        <f>Load_Profile_15min!G327</f>
        <v/>
      </c>
      <c r="C327" s="35">
        <f>Load_Profile_15min!H327</f>
        <v/>
      </c>
      <c r="D327" s="41">
        <f>Load_Profile_15min!H327*1000</f>
        <v/>
      </c>
    </row>
    <row r="328">
      <c r="A328" s="41">
        <f>Load_Profile_15min!F328</f>
        <v/>
      </c>
      <c r="B328" s="41">
        <f>Load_Profile_15min!G328</f>
        <v/>
      </c>
      <c r="C328" s="35">
        <f>Load_Profile_15min!H328</f>
        <v/>
      </c>
      <c r="D328" s="41">
        <f>Load_Profile_15min!H328*1000</f>
        <v/>
      </c>
    </row>
    <row r="329">
      <c r="A329" s="41">
        <f>Load_Profile_15min!F329</f>
        <v/>
      </c>
      <c r="B329" s="41">
        <f>Load_Profile_15min!G329</f>
        <v/>
      </c>
      <c r="C329" s="35">
        <f>Load_Profile_15min!H329</f>
        <v/>
      </c>
      <c r="D329" s="41">
        <f>Load_Profile_15min!H329*1000</f>
        <v/>
      </c>
    </row>
    <row r="330">
      <c r="A330" s="41">
        <f>Load_Profile_15min!F330</f>
        <v/>
      </c>
      <c r="B330" s="41">
        <f>Load_Profile_15min!G330</f>
        <v/>
      </c>
      <c r="C330" s="35">
        <f>Load_Profile_15min!H330</f>
        <v/>
      </c>
      <c r="D330" s="41">
        <f>Load_Profile_15min!H330*1000</f>
        <v/>
      </c>
    </row>
    <row r="331">
      <c r="A331" s="41">
        <f>Load_Profile_15min!F331</f>
        <v/>
      </c>
      <c r="B331" s="41">
        <f>Load_Profile_15min!G331</f>
        <v/>
      </c>
      <c r="C331" s="35">
        <f>Load_Profile_15min!H331</f>
        <v/>
      </c>
      <c r="D331" s="41">
        <f>Load_Profile_15min!H331*1000</f>
        <v/>
      </c>
    </row>
    <row r="332">
      <c r="A332" s="41">
        <f>Load_Profile_15min!F332</f>
        <v/>
      </c>
      <c r="B332" s="41">
        <f>Load_Profile_15min!G332</f>
        <v/>
      </c>
      <c r="C332" s="35">
        <f>Load_Profile_15min!H332</f>
        <v/>
      </c>
      <c r="D332" s="41">
        <f>Load_Profile_15min!H332*1000</f>
        <v/>
      </c>
    </row>
    <row r="333">
      <c r="A333" s="41">
        <f>Load_Profile_15min!F333</f>
        <v/>
      </c>
      <c r="B333" s="41">
        <f>Load_Profile_15min!G333</f>
        <v/>
      </c>
      <c r="C333" s="35">
        <f>Load_Profile_15min!H333</f>
        <v/>
      </c>
      <c r="D333" s="41">
        <f>Load_Profile_15min!H333*1000</f>
        <v/>
      </c>
    </row>
    <row r="334">
      <c r="A334" s="41">
        <f>Load_Profile_15min!F334</f>
        <v/>
      </c>
      <c r="B334" s="41">
        <f>Load_Profile_15min!G334</f>
        <v/>
      </c>
      <c r="C334" s="35">
        <f>Load_Profile_15min!H334</f>
        <v/>
      </c>
      <c r="D334" s="41">
        <f>Load_Profile_15min!H334*1000</f>
        <v/>
      </c>
    </row>
    <row r="335">
      <c r="A335" s="41">
        <f>Load_Profile_15min!F335</f>
        <v/>
      </c>
      <c r="B335" s="41">
        <f>Load_Profile_15min!G335</f>
        <v/>
      </c>
      <c r="C335" s="35">
        <f>Load_Profile_15min!H335</f>
        <v/>
      </c>
      <c r="D335" s="41">
        <f>Load_Profile_15min!H335*1000</f>
        <v/>
      </c>
    </row>
    <row r="336">
      <c r="A336" s="41">
        <f>Load_Profile_15min!F336</f>
        <v/>
      </c>
      <c r="B336" s="41">
        <f>Load_Profile_15min!G336</f>
        <v/>
      </c>
      <c r="C336" s="35">
        <f>Load_Profile_15min!H336</f>
        <v/>
      </c>
      <c r="D336" s="41">
        <f>Load_Profile_15min!H336*1000</f>
        <v/>
      </c>
    </row>
    <row r="337">
      <c r="A337" s="41">
        <f>Load_Profile_15min!F337</f>
        <v/>
      </c>
      <c r="B337" s="41">
        <f>Load_Profile_15min!G337</f>
        <v/>
      </c>
      <c r="C337" s="35">
        <f>Load_Profile_15min!H337</f>
        <v/>
      </c>
      <c r="D337" s="41">
        <f>Load_Profile_15min!H337*1000</f>
        <v/>
      </c>
    </row>
    <row r="338">
      <c r="A338" s="41">
        <f>Load_Profile_15min!F338</f>
        <v/>
      </c>
      <c r="B338" s="41">
        <f>Load_Profile_15min!G338</f>
        <v/>
      </c>
      <c r="C338" s="35">
        <f>Load_Profile_15min!H338</f>
        <v/>
      </c>
      <c r="D338" s="41">
        <f>Load_Profile_15min!H338*1000</f>
        <v/>
      </c>
    </row>
    <row r="339">
      <c r="A339" s="41">
        <f>Load_Profile_15min!F339</f>
        <v/>
      </c>
      <c r="B339" s="41">
        <f>Load_Profile_15min!G339</f>
        <v/>
      </c>
      <c r="C339" s="35">
        <f>Load_Profile_15min!H339</f>
        <v/>
      </c>
      <c r="D339" s="41">
        <f>Load_Profile_15min!H339*1000</f>
        <v/>
      </c>
    </row>
    <row r="340">
      <c r="A340" s="41">
        <f>Load_Profile_15min!F340</f>
        <v/>
      </c>
      <c r="B340" s="41">
        <f>Load_Profile_15min!G340</f>
        <v/>
      </c>
      <c r="C340" s="35">
        <f>Load_Profile_15min!H340</f>
        <v/>
      </c>
      <c r="D340" s="41">
        <f>Load_Profile_15min!H340*1000</f>
        <v/>
      </c>
    </row>
    <row r="341">
      <c r="A341" s="41">
        <f>Load_Profile_15min!F341</f>
        <v/>
      </c>
      <c r="B341" s="41">
        <f>Load_Profile_15min!G341</f>
        <v/>
      </c>
      <c r="C341" s="35">
        <f>Load_Profile_15min!H341</f>
        <v/>
      </c>
      <c r="D341" s="41">
        <f>Load_Profile_15min!H341*1000</f>
        <v/>
      </c>
    </row>
    <row r="342">
      <c r="A342" s="41">
        <f>Load_Profile_15min!F342</f>
        <v/>
      </c>
      <c r="B342" s="41">
        <f>Load_Profile_15min!G342</f>
        <v/>
      </c>
      <c r="C342" s="35">
        <f>Load_Profile_15min!H342</f>
        <v/>
      </c>
      <c r="D342" s="41">
        <f>Load_Profile_15min!H342*1000</f>
        <v/>
      </c>
    </row>
    <row r="343">
      <c r="A343" s="41">
        <f>Load_Profile_15min!F343</f>
        <v/>
      </c>
      <c r="B343" s="41">
        <f>Load_Profile_15min!G343</f>
        <v/>
      </c>
      <c r="C343" s="35">
        <f>Load_Profile_15min!H343</f>
        <v/>
      </c>
      <c r="D343" s="41">
        <f>Load_Profile_15min!H343*1000</f>
        <v/>
      </c>
    </row>
    <row r="344">
      <c r="A344" s="41">
        <f>Load_Profile_15min!F344</f>
        <v/>
      </c>
      <c r="B344" s="41">
        <f>Load_Profile_15min!G344</f>
        <v/>
      </c>
      <c r="C344" s="35">
        <f>Load_Profile_15min!H344</f>
        <v/>
      </c>
      <c r="D344" s="41">
        <f>Load_Profile_15min!H344*1000</f>
        <v/>
      </c>
    </row>
    <row r="345">
      <c r="A345" s="41">
        <f>Load_Profile_15min!F345</f>
        <v/>
      </c>
      <c r="B345" s="41">
        <f>Load_Profile_15min!G345</f>
        <v/>
      </c>
      <c r="C345" s="35">
        <f>Load_Profile_15min!H345</f>
        <v/>
      </c>
      <c r="D345" s="41">
        <f>Load_Profile_15min!H345*1000</f>
        <v/>
      </c>
    </row>
    <row r="346">
      <c r="A346" s="41">
        <f>Load_Profile_15min!F346</f>
        <v/>
      </c>
      <c r="B346" s="41">
        <f>Load_Profile_15min!G346</f>
        <v/>
      </c>
      <c r="C346" s="35">
        <f>Load_Profile_15min!H346</f>
        <v/>
      </c>
      <c r="D346" s="41">
        <f>Load_Profile_15min!H346*1000</f>
        <v/>
      </c>
    </row>
    <row r="347">
      <c r="A347" s="41">
        <f>Load_Profile_15min!F347</f>
        <v/>
      </c>
      <c r="B347" s="41">
        <f>Load_Profile_15min!G347</f>
        <v/>
      </c>
      <c r="C347" s="35">
        <f>Load_Profile_15min!H347</f>
        <v/>
      </c>
      <c r="D347" s="41">
        <f>Load_Profile_15min!H347*1000</f>
        <v/>
      </c>
    </row>
    <row r="348">
      <c r="A348" s="41">
        <f>Load_Profile_15min!F348</f>
        <v/>
      </c>
      <c r="B348" s="41">
        <f>Load_Profile_15min!G348</f>
        <v/>
      </c>
      <c r="C348" s="35">
        <f>Load_Profile_15min!H348</f>
        <v/>
      </c>
      <c r="D348" s="41">
        <f>Load_Profile_15min!H348*1000</f>
        <v/>
      </c>
    </row>
    <row r="349">
      <c r="A349" s="41">
        <f>Load_Profile_15min!F349</f>
        <v/>
      </c>
      <c r="B349" s="41">
        <f>Load_Profile_15min!G349</f>
        <v/>
      </c>
      <c r="C349" s="35">
        <f>Load_Profile_15min!H349</f>
        <v/>
      </c>
      <c r="D349" s="41">
        <f>Load_Profile_15min!H349*1000</f>
        <v/>
      </c>
    </row>
    <row r="350">
      <c r="A350" s="41">
        <f>Load_Profile_15min!F350</f>
        <v/>
      </c>
      <c r="B350" s="41">
        <f>Load_Profile_15min!G350</f>
        <v/>
      </c>
      <c r="C350" s="35">
        <f>Load_Profile_15min!H350</f>
        <v/>
      </c>
      <c r="D350" s="41">
        <f>Load_Profile_15min!H350*1000</f>
        <v/>
      </c>
    </row>
    <row r="351">
      <c r="A351" s="41">
        <f>Load_Profile_15min!F351</f>
        <v/>
      </c>
      <c r="B351" s="41">
        <f>Load_Profile_15min!G351</f>
        <v/>
      </c>
      <c r="C351" s="35">
        <f>Load_Profile_15min!H351</f>
        <v/>
      </c>
      <c r="D351" s="41">
        <f>Load_Profile_15min!H351*1000</f>
        <v/>
      </c>
    </row>
    <row r="352">
      <c r="A352" s="41">
        <f>Load_Profile_15min!F352</f>
        <v/>
      </c>
      <c r="B352" s="41">
        <f>Load_Profile_15min!G352</f>
        <v/>
      </c>
      <c r="C352" s="35">
        <f>Load_Profile_15min!H352</f>
        <v/>
      </c>
      <c r="D352" s="41">
        <f>Load_Profile_15min!H352*1000</f>
        <v/>
      </c>
    </row>
    <row r="353">
      <c r="A353" s="41">
        <f>Load_Profile_15min!F353</f>
        <v/>
      </c>
      <c r="B353" s="41">
        <f>Load_Profile_15min!G353</f>
        <v/>
      </c>
      <c r="C353" s="35">
        <f>Load_Profile_15min!H353</f>
        <v/>
      </c>
      <c r="D353" s="41">
        <f>Load_Profile_15min!H353*1000</f>
        <v/>
      </c>
    </row>
    <row r="354">
      <c r="A354" s="41">
        <f>Load_Profile_15min!F354</f>
        <v/>
      </c>
      <c r="B354" s="41">
        <f>Load_Profile_15min!G354</f>
        <v/>
      </c>
      <c r="C354" s="35">
        <f>Load_Profile_15min!H354</f>
        <v/>
      </c>
      <c r="D354" s="41">
        <f>Load_Profile_15min!H354*1000</f>
        <v/>
      </c>
    </row>
    <row r="355">
      <c r="A355" s="41">
        <f>Load_Profile_15min!F355</f>
        <v/>
      </c>
      <c r="B355" s="41">
        <f>Load_Profile_15min!G355</f>
        <v/>
      </c>
      <c r="C355" s="35">
        <f>Load_Profile_15min!H355</f>
        <v/>
      </c>
      <c r="D355" s="41">
        <f>Load_Profile_15min!H355*1000</f>
        <v/>
      </c>
    </row>
    <row r="356">
      <c r="A356" s="41">
        <f>Load_Profile_15min!F356</f>
        <v/>
      </c>
      <c r="B356" s="41">
        <f>Load_Profile_15min!G356</f>
        <v/>
      </c>
      <c r="C356" s="35">
        <f>Load_Profile_15min!H356</f>
        <v/>
      </c>
      <c r="D356" s="41">
        <f>Load_Profile_15min!H356*1000</f>
        <v/>
      </c>
    </row>
    <row r="357">
      <c r="A357" s="41">
        <f>Load_Profile_15min!F357</f>
        <v/>
      </c>
      <c r="B357" s="41">
        <f>Load_Profile_15min!G357</f>
        <v/>
      </c>
      <c r="C357" s="35">
        <f>Load_Profile_15min!H357</f>
        <v/>
      </c>
      <c r="D357" s="41">
        <f>Load_Profile_15min!H357*1000</f>
        <v/>
      </c>
    </row>
    <row r="358">
      <c r="A358" s="41">
        <f>Load_Profile_15min!F358</f>
        <v/>
      </c>
      <c r="B358" s="41">
        <f>Load_Profile_15min!G358</f>
        <v/>
      </c>
      <c r="C358" s="35">
        <f>Load_Profile_15min!H358</f>
        <v/>
      </c>
      <c r="D358" s="41">
        <f>Load_Profile_15min!H358*1000</f>
        <v/>
      </c>
    </row>
    <row r="359">
      <c r="A359" s="41">
        <f>Load_Profile_15min!F359</f>
        <v/>
      </c>
      <c r="B359" s="41">
        <f>Load_Profile_15min!G359</f>
        <v/>
      </c>
      <c r="C359" s="35">
        <f>Load_Profile_15min!H359</f>
        <v/>
      </c>
      <c r="D359" s="41">
        <f>Load_Profile_15min!H359*1000</f>
        <v/>
      </c>
    </row>
    <row r="360">
      <c r="A360" s="41">
        <f>Load_Profile_15min!F360</f>
        <v/>
      </c>
      <c r="B360" s="41">
        <f>Load_Profile_15min!G360</f>
        <v/>
      </c>
      <c r="C360" s="35">
        <f>Load_Profile_15min!H360</f>
        <v/>
      </c>
      <c r="D360" s="41">
        <f>Load_Profile_15min!H360*1000</f>
        <v/>
      </c>
    </row>
    <row r="361">
      <c r="A361" s="41">
        <f>Load_Profile_15min!F361</f>
        <v/>
      </c>
      <c r="B361" s="41">
        <f>Load_Profile_15min!G361</f>
        <v/>
      </c>
      <c r="C361" s="35">
        <f>Load_Profile_15min!H361</f>
        <v/>
      </c>
      <c r="D361" s="41">
        <f>Load_Profile_15min!H361*1000</f>
        <v/>
      </c>
    </row>
    <row r="362">
      <c r="A362" s="41">
        <f>Load_Profile_15min!F362</f>
        <v/>
      </c>
      <c r="B362" s="41">
        <f>Load_Profile_15min!G362</f>
        <v/>
      </c>
      <c r="C362" s="35">
        <f>Load_Profile_15min!H362</f>
        <v/>
      </c>
      <c r="D362" s="41">
        <f>Load_Profile_15min!H362*1000</f>
        <v/>
      </c>
    </row>
    <row r="363">
      <c r="A363" s="41">
        <f>Load_Profile_15min!F363</f>
        <v/>
      </c>
      <c r="B363" s="41">
        <f>Load_Profile_15min!G363</f>
        <v/>
      </c>
      <c r="C363" s="35">
        <f>Load_Profile_15min!H363</f>
        <v/>
      </c>
      <c r="D363" s="41">
        <f>Load_Profile_15min!H363*1000</f>
        <v/>
      </c>
    </row>
    <row r="364">
      <c r="A364" s="41">
        <f>Load_Profile_15min!F364</f>
        <v/>
      </c>
      <c r="B364" s="41">
        <f>Load_Profile_15min!G364</f>
        <v/>
      </c>
      <c r="C364" s="35">
        <f>Load_Profile_15min!H364</f>
        <v/>
      </c>
      <c r="D364" s="41">
        <f>Load_Profile_15min!H364*1000</f>
        <v/>
      </c>
    </row>
    <row r="365">
      <c r="A365" s="41">
        <f>Load_Profile_15min!F365</f>
        <v/>
      </c>
      <c r="B365" s="41">
        <f>Load_Profile_15min!G365</f>
        <v/>
      </c>
      <c r="C365" s="35">
        <f>Load_Profile_15min!H365</f>
        <v/>
      </c>
      <c r="D365" s="41">
        <f>Load_Profile_15min!H365*1000</f>
        <v/>
      </c>
    </row>
    <row r="366">
      <c r="A366" s="41">
        <f>Load_Profile_15min!F366</f>
        <v/>
      </c>
      <c r="B366" s="41">
        <f>Load_Profile_15min!G366</f>
        <v/>
      </c>
      <c r="C366" s="35">
        <f>Load_Profile_15min!H366</f>
        <v/>
      </c>
      <c r="D366" s="41">
        <f>Load_Profile_15min!H366*1000</f>
        <v/>
      </c>
    </row>
    <row r="367">
      <c r="A367" s="41">
        <f>Load_Profile_15min!F367</f>
        <v/>
      </c>
      <c r="B367" s="41">
        <f>Load_Profile_15min!G367</f>
        <v/>
      </c>
      <c r="C367" s="35">
        <f>Load_Profile_15min!H367</f>
        <v/>
      </c>
      <c r="D367" s="41">
        <f>Load_Profile_15min!H367*1000</f>
        <v/>
      </c>
    </row>
    <row r="368">
      <c r="A368" s="41">
        <f>Load_Profile_15min!F368</f>
        <v/>
      </c>
      <c r="B368" s="41">
        <f>Load_Profile_15min!G368</f>
        <v/>
      </c>
      <c r="C368" s="35">
        <f>Load_Profile_15min!H368</f>
        <v/>
      </c>
      <c r="D368" s="41">
        <f>Load_Profile_15min!H368*1000</f>
        <v/>
      </c>
    </row>
    <row r="369">
      <c r="A369" s="41">
        <f>Load_Profile_15min!F369</f>
        <v/>
      </c>
      <c r="B369" s="41">
        <f>Load_Profile_15min!G369</f>
        <v/>
      </c>
      <c r="C369" s="35">
        <f>Load_Profile_15min!H369</f>
        <v/>
      </c>
      <c r="D369" s="41">
        <f>Load_Profile_15min!H369*1000</f>
        <v/>
      </c>
    </row>
    <row r="370">
      <c r="A370" s="41">
        <f>Load_Profile_15min!F370</f>
        <v/>
      </c>
      <c r="B370" s="41">
        <f>Load_Profile_15min!G370</f>
        <v/>
      </c>
      <c r="C370" s="35">
        <f>Load_Profile_15min!H370</f>
        <v/>
      </c>
      <c r="D370" s="41">
        <f>Load_Profile_15min!H370*1000</f>
        <v/>
      </c>
    </row>
    <row r="371">
      <c r="A371" s="41">
        <f>Load_Profile_15min!F371</f>
        <v/>
      </c>
      <c r="B371" s="41">
        <f>Load_Profile_15min!G371</f>
        <v/>
      </c>
      <c r="C371" s="35">
        <f>Load_Profile_15min!H371</f>
        <v/>
      </c>
      <c r="D371" s="41">
        <f>Load_Profile_15min!H371*1000</f>
        <v/>
      </c>
    </row>
    <row r="372">
      <c r="A372" s="41">
        <f>Load_Profile_15min!F372</f>
        <v/>
      </c>
      <c r="B372" s="41">
        <f>Load_Profile_15min!G372</f>
        <v/>
      </c>
      <c r="C372" s="35">
        <f>Load_Profile_15min!H372</f>
        <v/>
      </c>
      <c r="D372" s="41">
        <f>Load_Profile_15min!H372*1000</f>
        <v/>
      </c>
    </row>
    <row r="373">
      <c r="A373" s="41">
        <f>Load_Profile_15min!F373</f>
        <v/>
      </c>
      <c r="B373" s="41">
        <f>Load_Profile_15min!G373</f>
        <v/>
      </c>
      <c r="C373" s="35">
        <f>Load_Profile_15min!H373</f>
        <v/>
      </c>
      <c r="D373" s="41">
        <f>Load_Profile_15min!H373*1000</f>
        <v/>
      </c>
    </row>
    <row r="374">
      <c r="A374" s="41">
        <f>Load_Profile_15min!F374</f>
        <v/>
      </c>
      <c r="B374" s="41">
        <f>Load_Profile_15min!G374</f>
        <v/>
      </c>
      <c r="C374" s="35">
        <f>Load_Profile_15min!H374</f>
        <v/>
      </c>
      <c r="D374" s="41">
        <f>Load_Profile_15min!H374*1000</f>
        <v/>
      </c>
    </row>
    <row r="375">
      <c r="A375" s="41">
        <f>Load_Profile_15min!F375</f>
        <v/>
      </c>
      <c r="B375" s="41">
        <f>Load_Profile_15min!G375</f>
        <v/>
      </c>
      <c r="C375" s="35">
        <f>Load_Profile_15min!H375</f>
        <v/>
      </c>
      <c r="D375" s="41">
        <f>Load_Profile_15min!H375*1000</f>
        <v/>
      </c>
    </row>
    <row r="376">
      <c r="A376" s="41">
        <f>Load_Profile_15min!F376</f>
        <v/>
      </c>
      <c r="B376" s="41">
        <f>Load_Profile_15min!G376</f>
        <v/>
      </c>
      <c r="C376" s="35">
        <f>Load_Profile_15min!H376</f>
        <v/>
      </c>
      <c r="D376" s="41">
        <f>Load_Profile_15min!H376*1000</f>
        <v/>
      </c>
    </row>
    <row r="377">
      <c r="A377" s="41">
        <f>Load_Profile_15min!F377</f>
        <v/>
      </c>
      <c r="B377" s="41">
        <f>Load_Profile_15min!G377</f>
        <v/>
      </c>
      <c r="C377" s="35">
        <f>Load_Profile_15min!H377</f>
        <v/>
      </c>
      <c r="D377" s="41">
        <f>Load_Profile_15min!H377*1000</f>
        <v/>
      </c>
    </row>
    <row r="378">
      <c r="A378" s="41">
        <f>Load_Profile_15min!F378</f>
        <v/>
      </c>
      <c r="B378" s="41">
        <f>Load_Profile_15min!G378</f>
        <v/>
      </c>
      <c r="C378" s="35">
        <f>Load_Profile_15min!H378</f>
        <v/>
      </c>
      <c r="D378" s="41">
        <f>Load_Profile_15min!H378*1000</f>
        <v/>
      </c>
    </row>
    <row r="379">
      <c r="A379" s="41">
        <f>Load_Profile_15min!F379</f>
        <v/>
      </c>
      <c r="B379" s="41">
        <f>Load_Profile_15min!G379</f>
        <v/>
      </c>
      <c r="C379" s="35">
        <f>Load_Profile_15min!H379</f>
        <v/>
      </c>
      <c r="D379" s="41">
        <f>Load_Profile_15min!H379*1000</f>
        <v/>
      </c>
    </row>
    <row r="380">
      <c r="A380" s="41">
        <f>Load_Profile_15min!F380</f>
        <v/>
      </c>
      <c r="B380" s="41">
        <f>Load_Profile_15min!G380</f>
        <v/>
      </c>
      <c r="C380" s="35">
        <f>Load_Profile_15min!H380</f>
        <v/>
      </c>
      <c r="D380" s="41">
        <f>Load_Profile_15min!H380*1000</f>
        <v/>
      </c>
    </row>
    <row r="381">
      <c r="A381" s="41">
        <f>Load_Profile_15min!F381</f>
        <v/>
      </c>
      <c r="B381" s="41">
        <f>Load_Profile_15min!G381</f>
        <v/>
      </c>
      <c r="C381" s="35">
        <f>Load_Profile_15min!H381</f>
        <v/>
      </c>
      <c r="D381" s="41">
        <f>Load_Profile_15min!H381*1000</f>
        <v/>
      </c>
    </row>
    <row r="382">
      <c r="A382" s="41">
        <f>Load_Profile_15min!F382</f>
        <v/>
      </c>
      <c r="B382" s="41">
        <f>Load_Profile_15min!G382</f>
        <v/>
      </c>
      <c r="C382" s="35">
        <f>Load_Profile_15min!H382</f>
        <v/>
      </c>
      <c r="D382" s="41">
        <f>Load_Profile_15min!H382*1000</f>
        <v/>
      </c>
    </row>
    <row r="383">
      <c r="A383" s="41">
        <f>Load_Profile_15min!F383</f>
        <v/>
      </c>
      <c r="B383" s="41">
        <f>Load_Profile_15min!G383</f>
        <v/>
      </c>
      <c r="C383" s="35">
        <f>Load_Profile_15min!H383</f>
        <v/>
      </c>
      <c r="D383" s="41">
        <f>Load_Profile_15min!H383*1000</f>
        <v/>
      </c>
    </row>
    <row r="384">
      <c r="A384" s="41">
        <f>Load_Profile_15min!F384</f>
        <v/>
      </c>
      <c r="B384" s="41">
        <f>Load_Profile_15min!G384</f>
        <v/>
      </c>
      <c r="C384" s="35">
        <f>Load_Profile_15min!H384</f>
        <v/>
      </c>
      <c r="D384" s="41">
        <f>Load_Profile_15min!H384*1000</f>
        <v/>
      </c>
    </row>
    <row r="385">
      <c r="A385" s="41">
        <f>Load_Profile_15min!F385</f>
        <v/>
      </c>
      <c r="B385" s="41">
        <f>Load_Profile_15min!G385</f>
        <v/>
      </c>
      <c r="C385" s="35">
        <f>Load_Profile_15min!H385</f>
        <v/>
      </c>
      <c r="D385" s="41">
        <f>Load_Profile_15min!H385*1000</f>
        <v/>
      </c>
    </row>
    <row r="386">
      <c r="A386" s="41">
        <f>Load_Profile_15min!F386</f>
        <v/>
      </c>
      <c r="B386" s="41">
        <f>Load_Profile_15min!G386</f>
        <v/>
      </c>
      <c r="C386" s="35">
        <f>Load_Profile_15min!H386</f>
        <v/>
      </c>
      <c r="D386" s="41">
        <f>Load_Profile_15min!H386*1000</f>
        <v/>
      </c>
    </row>
    <row r="387">
      <c r="A387" s="41">
        <f>Load_Profile_15min!F387</f>
        <v/>
      </c>
      <c r="B387" s="41">
        <f>Load_Profile_15min!G387</f>
        <v/>
      </c>
      <c r="C387" s="35">
        <f>Load_Profile_15min!H387</f>
        <v/>
      </c>
      <c r="D387" s="41">
        <f>Load_Profile_15min!H387*1000</f>
        <v/>
      </c>
    </row>
    <row r="388">
      <c r="A388" s="41">
        <f>Load_Profile_15min!F388</f>
        <v/>
      </c>
      <c r="B388" s="41">
        <f>Load_Profile_15min!G388</f>
        <v/>
      </c>
      <c r="C388" s="35">
        <f>Load_Profile_15min!H388</f>
        <v/>
      </c>
      <c r="D388" s="41">
        <f>Load_Profile_15min!H388*1000</f>
        <v/>
      </c>
    </row>
    <row r="389">
      <c r="A389" s="41">
        <f>Load_Profile_15min!F389</f>
        <v/>
      </c>
      <c r="B389" s="41">
        <f>Load_Profile_15min!G389</f>
        <v/>
      </c>
      <c r="C389" s="35">
        <f>Load_Profile_15min!H389</f>
        <v/>
      </c>
      <c r="D389" s="41">
        <f>Load_Profile_15min!H389*1000</f>
        <v/>
      </c>
    </row>
    <row r="390">
      <c r="A390" s="41">
        <f>Load_Profile_15min!F390</f>
        <v/>
      </c>
      <c r="B390" s="41">
        <f>Load_Profile_15min!G390</f>
        <v/>
      </c>
      <c r="C390" s="35">
        <f>Load_Profile_15min!H390</f>
        <v/>
      </c>
      <c r="D390" s="41">
        <f>Load_Profile_15min!H390*1000</f>
        <v/>
      </c>
    </row>
    <row r="391">
      <c r="A391" s="41">
        <f>Load_Profile_15min!F391</f>
        <v/>
      </c>
      <c r="B391" s="41">
        <f>Load_Profile_15min!G391</f>
        <v/>
      </c>
      <c r="C391" s="35">
        <f>Load_Profile_15min!H391</f>
        <v/>
      </c>
      <c r="D391" s="41">
        <f>Load_Profile_15min!H391*1000</f>
        <v/>
      </c>
    </row>
    <row r="392">
      <c r="A392" s="41">
        <f>Load_Profile_15min!F392</f>
        <v/>
      </c>
      <c r="B392" s="41">
        <f>Load_Profile_15min!G392</f>
        <v/>
      </c>
      <c r="C392" s="35">
        <f>Load_Profile_15min!H392</f>
        <v/>
      </c>
      <c r="D392" s="41">
        <f>Load_Profile_15min!H392*1000</f>
        <v/>
      </c>
    </row>
    <row r="393">
      <c r="A393" s="41">
        <f>Load_Profile_15min!F393</f>
        <v/>
      </c>
      <c r="B393" s="41">
        <f>Load_Profile_15min!G393</f>
        <v/>
      </c>
      <c r="C393" s="35">
        <f>Load_Profile_15min!H393</f>
        <v/>
      </c>
      <c r="D393" s="41">
        <f>Load_Profile_15min!H393*1000</f>
        <v/>
      </c>
    </row>
    <row r="394">
      <c r="A394" s="41">
        <f>Load_Profile_15min!F394</f>
        <v/>
      </c>
      <c r="B394" s="41">
        <f>Load_Profile_15min!G394</f>
        <v/>
      </c>
      <c r="C394" s="35">
        <f>Load_Profile_15min!H394</f>
        <v/>
      </c>
      <c r="D394" s="41">
        <f>Load_Profile_15min!H394*1000</f>
        <v/>
      </c>
    </row>
    <row r="395">
      <c r="A395" s="41">
        <f>Load_Profile_15min!F395</f>
        <v/>
      </c>
      <c r="B395" s="41">
        <f>Load_Profile_15min!G395</f>
        <v/>
      </c>
      <c r="C395" s="35">
        <f>Load_Profile_15min!H395</f>
        <v/>
      </c>
      <c r="D395" s="41">
        <f>Load_Profile_15min!H395*1000</f>
        <v/>
      </c>
    </row>
    <row r="396">
      <c r="A396" s="41">
        <f>Load_Profile_15min!F396</f>
        <v/>
      </c>
      <c r="B396" s="41">
        <f>Load_Profile_15min!G396</f>
        <v/>
      </c>
      <c r="C396" s="35">
        <f>Load_Profile_15min!H396</f>
        <v/>
      </c>
      <c r="D396" s="41">
        <f>Load_Profile_15min!H396*1000</f>
        <v/>
      </c>
    </row>
    <row r="397">
      <c r="A397" s="41">
        <f>Load_Profile_15min!F397</f>
        <v/>
      </c>
      <c r="B397" s="41">
        <f>Load_Profile_15min!G397</f>
        <v/>
      </c>
      <c r="C397" s="35">
        <f>Load_Profile_15min!H397</f>
        <v/>
      </c>
      <c r="D397" s="41">
        <f>Load_Profile_15min!H397*1000</f>
        <v/>
      </c>
    </row>
    <row r="398">
      <c r="A398" s="41">
        <f>Load_Profile_15min!F398</f>
        <v/>
      </c>
      <c r="B398" s="41">
        <f>Load_Profile_15min!G398</f>
        <v/>
      </c>
      <c r="C398" s="35">
        <f>Load_Profile_15min!H398</f>
        <v/>
      </c>
      <c r="D398" s="41">
        <f>Load_Profile_15min!H398*1000</f>
        <v/>
      </c>
    </row>
    <row r="399">
      <c r="A399" s="41">
        <f>Load_Profile_15min!F399</f>
        <v/>
      </c>
      <c r="B399" s="41">
        <f>Load_Profile_15min!G399</f>
        <v/>
      </c>
      <c r="C399" s="35">
        <f>Load_Profile_15min!H399</f>
        <v/>
      </c>
      <c r="D399" s="41">
        <f>Load_Profile_15min!H399*1000</f>
        <v/>
      </c>
    </row>
    <row r="400">
      <c r="A400" s="41">
        <f>Load_Profile_15min!F400</f>
        <v/>
      </c>
      <c r="B400" s="41">
        <f>Load_Profile_15min!G400</f>
        <v/>
      </c>
      <c r="C400" s="35">
        <f>Load_Profile_15min!H400</f>
        <v/>
      </c>
      <c r="D400" s="41">
        <f>Load_Profile_15min!H400*1000</f>
        <v/>
      </c>
    </row>
    <row r="401">
      <c r="A401" s="41">
        <f>Load_Profile_15min!F401</f>
        <v/>
      </c>
      <c r="B401" s="41">
        <f>Load_Profile_15min!G401</f>
        <v/>
      </c>
      <c r="C401" s="35">
        <f>Load_Profile_15min!H401</f>
        <v/>
      </c>
      <c r="D401" s="41">
        <f>Load_Profile_15min!H401*1000</f>
        <v/>
      </c>
    </row>
    <row r="402">
      <c r="A402" s="41">
        <f>Load_Profile_15min!F402</f>
        <v/>
      </c>
      <c r="B402" s="41">
        <f>Load_Profile_15min!G402</f>
        <v/>
      </c>
      <c r="C402" s="35">
        <f>Load_Profile_15min!H402</f>
        <v/>
      </c>
      <c r="D402" s="41">
        <f>Load_Profile_15min!H402*1000</f>
        <v/>
      </c>
    </row>
    <row r="403">
      <c r="A403" s="41">
        <f>Load_Profile_15min!F403</f>
        <v/>
      </c>
      <c r="B403" s="41">
        <f>Load_Profile_15min!G403</f>
        <v/>
      </c>
      <c r="C403" s="35">
        <f>Load_Profile_15min!H403</f>
        <v/>
      </c>
      <c r="D403" s="41">
        <f>Load_Profile_15min!H403*1000</f>
        <v/>
      </c>
    </row>
    <row r="404">
      <c r="A404" s="41">
        <f>Load_Profile_15min!F404</f>
        <v/>
      </c>
      <c r="B404" s="41">
        <f>Load_Profile_15min!G404</f>
        <v/>
      </c>
      <c r="C404" s="35">
        <f>Load_Profile_15min!H404</f>
        <v/>
      </c>
      <c r="D404" s="41">
        <f>Load_Profile_15min!H404*1000</f>
        <v/>
      </c>
    </row>
    <row r="405">
      <c r="A405" s="41">
        <f>Load_Profile_15min!F405</f>
        <v/>
      </c>
      <c r="B405" s="41">
        <f>Load_Profile_15min!G405</f>
        <v/>
      </c>
      <c r="C405" s="35">
        <f>Load_Profile_15min!H405</f>
        <v/>
      </c>
      <c r="D405" s="41">
        <f>Load_Profile_15min!H405*1000</f>
        <v/>
      </c>
    </row>
    <row r="406">
      <c r="A406" s="41">
        <f>Load_Profile_15min!F406</f>
        <v/>
      </c>
      <c r="B406" s="41">
        <f>Load_Profile_15min!G406</f>
        <v/>
      </c>
      <c r="C406" s="35">
        <f>Load_Profile_15min!H406</f>
        <v/>
      </c>
      <c r="D406" s="41">
        <f>Load_Profile_15min!H406*1000</f>
        <v/>
      </c>
    </row>
    <row r="407">
      <c r="A407" s="41">
        <f>Load_Profile_15min!F407</f>
        <v/>
      </c>
      <c r="B407" s="41">
        <f>Load_Profile_15min!G407</f>
        <v/>
      </c>
      <c r="C407" s="35">
        <f>Load_Profile_15min!H407</f>
        <v/>
      </c>
      <c r="D407" s="41">
        <f>Load_Profile_15min!H407*1000</f>
        <v/>
      </c>
    </row>
    <row r="408">
      <c r="A408" s="41">
        <f>Load_Profile_15min!F408</f>
        <v/>
      </c>
      <c r="B408" s="41">
        <f>Load_Profile_15min!G408</f>
        <v/>
      </c>
      <c r="C408" s="35">
        <f>Load_Profile_15min!H408</f>
        <v/>
      </c>
      <c r="D408" s="41">
        <f>Load_Profile_15min!H408*1000</f>
        <v/>
      </c>
    </row>
    <row r="409">
      <c r="A409" s="41">
        <f>Load_Profile_15min!F409</f>
        <v/>
      </c>
      <c r="B409" s="41">
        <f>Load_Profile_15min!G409</f>
        <v/>
      </c>
      <c r="C409" s="35">
        <f>Load_Profile_15min!H409</f>
        <v/>
      </c>
      <c r="D409" s="41">
        <f>Load_Profile_15min!H409*1000</f>
        <v/>
      </c>
    </row>
    <row r="410">
      <c r="A410" s="41">
        <f>Load_Profile_15min!F410</f>
        <v/>
      </c>
      <c r="B410" s="41">
        <f>Load_Profile_15min!G410</f>
        <v/>
      </c>
      <c r="C410" s="35">
        <f>Load_Profile_15min!H410</f>
        <v/>
      </c>
      <c r="D410" s="41">
        <f>Load_Profile_15min!H410*1000</f>
        <v/>
      </c>
    </row>
    <row r="411">
      <c r="A411" s="41">
        <f>Load_Profile_15min!F411</f>
        <v/>
      </c>
      <c r="B411" s="41">
        <f>Load_Profile_15min!G411</f>
        <v/>
      </c>
      <c r="C411" s="35">
        <f>Load_Profile_15min!H411</f>
        <v/>
      </c>
      <c r="D411" s="41">
        <f>Load_Profile_15min!H411*1000</f>
        <v/>
      </c>
    </row>
    <row r="412">
      <c r="A412" s="41">
        <f>Load_Profile_15min!F412</f>
        <v/>
      </c>
      <c r="B412" s="41">
        <f>Load_Profile_15min!G412</f>
        <v/>
      </c>
      <c r="C412" s="35">
        <f>Load_Profile_15min!H412</f>
        <v/>
      </c>
      <c r="D412" s="41">
        <f>Load_Profile_15min!H412*1000</f>
        <v/>
      </c>
    </row>
    <row r="413">
      <c r="A413" s="41">
        <f>Load_Profile_15min!F413</f>
        <v/>
      </c>
      <c r="B413" s="41">
        <f>Load_Profile_15min!G413</f>
        <v/>
      </c>
      <c r="C413" s="35">
        <f>Load_Profile_15min!H413</f>
        <v/>
      </c>
      <c r="D413" s="41">
        <f>Load_Profile_15min!H413*1000</f>
        <v/>
      </c>
    </row>
    <row r="414">
      <c r="A414" s="41">
        <f>Load_Profile_15min!F414</f>
        <v/>
      </c>
      <c r="B414" s="41">
        <f>Load_Profile_15min!G414</f>
        <v/>
      </c>
      <c r="C414" s="35">
        <f>Load_Profile_15min!H414</f>
        <v/>
      </c>
      <c r="D414" s="41">
        <f>Load_Profile_15min!H414*1000</f>
        <v/>
      </c>
    </row>
    <row r="415">
      <c r="A415" s="41">
        <f>Load_Profile_15min!F415</f>
        <v/>
      </c>
      <c r="B415" s="41">
        <f>Load_Profile_15min!G415</f>
        <v/>
      </c>
      <c r="C415" s="35">
        <f>Load_Profile_15min!H415</f>
        <v/>
      </c>
      <c r="D415" s="41">
        <f>Load_Profile_15min!H415*1000</f>
        <v/>
      </c>
    </row>
    <row r="416">
      <c r="A416" s="41">
        <f>Load_Profile_15min!F416</f>
        <v/>
      </c>
      <c r="B416" s="41">
        <f>Load_Profile_15min!G416</f>
        <v/>
      </c>
      <c r="C416" s="35">
        <f>Load_Profile_15min!H416</f>
        <v/>
      </c>
      <c r="D416" s="41">
        <f>Load_Profile_15min!H416*1000</f>
        <v/>
      </c>
    </row>
    <row r="417">
      <c r="A417" s="41">
        <f>Load_Profile_15min!F417</f>
        <v/>
      </c>
      <c r="B417" s="41">
        <f>Load_Profile_15min!G417</f>
        <v/>
      </c>
      <c r="C417" s="35">
        <f>Load_Profile_15min!H417</f>
        <v/>
      </c>
      <c r="D417" s="41">
        <f>Load_Profile_15min!H417*1000</f>
        <v/>
      </c>
    </row>
    <row r="418">
      <c r="A418" s="41">
        <f>Load_Profile_15min!F418</f>
        <v/>
      </c>
      <c r="B418" s="41">
        <f>Load_Profile_15min!G418</f>
        <v/>
      </c>
      <c r="C418" s="35">
        <f>Load_Profile_15min!H418</f>
        <v/>
      </c>
      <c r="D418" s="41">
        <f>Load_Profile_15min!H418*1000</f>
        <v/>
      </c>
    </row>
    <row r="419">
      <c r="A419" s="41">
        <f>Load_Profile_15min!F419</f>
        <v/>
      </c>
      <c r="B419" s="41">
        <f>Load_Profile_15min!G419</f>
        <v/>
      </c>
      <c r="C419" s="35">
        <f>Load_Profile_15min!H419</f>
        <v/>
      </c>
      <c r="D419" s="41">
        <f>Load_Profile_15min!H419*1000</f>
        <v/>
      </c>
    </row>
    <row r="420">
      <c r="A420" s="41">
        <f>Load_Profile_15min!F420</f>
        <v/>
      </c>
      <c r="B420" s="41">
        <f>Load_Profile_15min!G420</f>
        <v/>
      </c>
      <c r="C420" s="35">
        <f>Load_Profile_15min!H420</f>
        <v/>
      </c>
      <c r="D420" s="41">
        <f>Load_Profile_15min!H420*1000</f>
        <v/>
      </c>
    </row>
    <row r="421">
      <c r="A421" s="41">
        <f>Load_Profile_15min!F421</f>
        <v/>
      </c>
      <c r="B421" s="41">
        <f>Load_Profile_15min!G421</f>
        <v/>
      </c>
      <c r="C421" s="35">
        <f>Load_Profile_15min!H421</f>
        <v/>
      </c>
      <c r="D421" s="41">
        <f>Load_Profile_15min!H421*1000</f>
        <v/>
      </c>
    </row>
    <row r="422">
      <c r="A422" s="41">
        <f>Load_Profile_15min!F422</f>
        <v/>
      </c>
      <c r="B422" s="41">
        <f>Load_Profile_15min!G422</f>
        <v/>
      </c>
      <c r="C422" s="35">
        <f>Load_Profile_15min!H422</f>
        <v/>
      </c>
      <c r="D422" s="41">
        <f>Load_Profile_15min!H422*1000</f>
        <v/>
      </c>
    </row>
    <row r="423">
      <c r="A423" s="41">
        <f>Load_Profile_15min!F423</f>
        <v/>
      </c>
      <c r="B423" s="41">
        <f>Load_Profile_15min!G423</f>
        <v/>
      </c>
      <c r="C423" s="35">
        <f>Load_Profile_15min!H423</f>
        <v/>
      </c>
      <c r="D423" s="41">
        <f>Load_Profile_15min!H423*1000</f>
        <v/>
      </c>
    </row>
    <row r="424">
      <c r="A424" s="41">
        <f>Load_Profile_15min!F424</f>
        <v/>
      </c>
      <c r="B424" s="41">
        <f>Load_Profile_15min!G424</f>
        <v/>
      </c>
      <c r="C424" s="35">
        <f>Load_Profile_15min!H424</f>
        <v/>
      </c>
      <c r="D424" s="41">
        <f>Load_Profile_15min!H424*1000</f>
        <v/>
      </c>
    </row>
    <row r="425">
      <c r="A425" s="41">
        <f>Load_Profile_15min!F425</f>
        <v/>
      </c>
      <c r="B425" s="41">
        <f>Load_Profile_15min!G425</f>
        <v/>
      </c>
      <c r="C425" s="35">
        <f>Load_Profile_15min!H425</f>
        <v/>
      </c>
      <c r="D425" s="41">
        <f>Load_Profile_15min!H425*1000</f>
        <v/>
      </c>
    </row>
    <row r="426">
      <c r="A426" s="41">
        <f>Load_Profile_15min!F426</f>
        <v/>
      </c>
      <c r="B426" s="41">
        <f>Load_Profile_15min!G426</f>
        <v/>
      </c>
      <c r="C426" s="35">
        <f>Load_Profile_15min!H426</f>
        <v/>
      </c>
      <c r="D426" s="41">
        <f>Load_Profile_15min!H426*1000</f>
        <v/>
      </c>
    </row>
    <row r="427">
      <c r="A427" s="41">
        <f>Load_Profile_15min!F427</f>
        <v/>
      </c>
      <c r="B427" s="41">
        <f>Load_Profile_15min!G427</f>
        <v/>
      </c>
      <c r="C427" s="35">
        <f>Load_Profile_15min!H427</f>
        <v/>
      </c>
      <c r="D427" s="41">
        <f>Load_Profile_15min!H427*1000</f>
        <v/>
      </c>
    </row>
    <row r="428">
      <c r="A428" s="41">
        <f>Load_Profile_15min!F428</f>
        <v/>
      </c>
      <c r="B428" s="41">
        <f>Load_Profile_15min!G428</f>
        <v/>
      </c>
      <c r="C428" s="35">
        <f>Load_Profile_15min!H428</f>
        <v/>
      </c>
      <c r="D428" s="41">
        <f>Load_Profile_15min!H428*1000</f>
        <v/>
      </c>
    </row>
    <row r="429">
      <c r="A429" s="41">
        <f>Load_Profile_15min!F429</f>
        <v/>
      </c>
      <c r="B429" s="41">
        <f>Load_Profile_15min!G429</f>
        <v/>
      </c>
      <c r="C429" s="35">
        <f>Load_Profile_15min!H429</f>
        <v/>
      </c>
      <c r="D429" s="41">
        <f>Load_Profile_15min!H429*1000</f>
        <v/>
      </c>
    </row>
    <row r="430">
      <c r="A430" s="41">
        <f>Load_Profile_15min!F430</f>
        <v/>
      </c>
      <c r="B430" s="41">
        <f>Load_Profile_15min!G430</f>
        <v/>
      </c>
      <c r="C430" s="35">
        <f>Load_Profile_15min!H430</f>
        <v/>
      </c>
      <c r="D430" s="41">
        <f>Load_Profile_15min!H430*1000</f>
        <v/>
      </c>
    </row>
    <row r="431">
      <c r="A431" s="41">
        <f>Load_Profile_15min!F431</f>
        <v/>
      </c>
      <c r="B431" s="41">
        <f>Load_Profile_15min!G431</f>
        <v/>
      </c>
      <c r="C431" s="35">
        <f>Load_Profile_15min!H431</f>
        <v/>
      </c>
      <c r="D431" s="41">
        <f>Load_Profile_15min!H431*1000</f>
        <v/>
      </c>
    </row>
    <row r="432">
      <c r="A432" s="41">
        <f>Load_Profile_15min!F432</f>
        <v/>
      </c>
      <c r="B432" s="41">
        <f>Load_Profile_15min!G432</f>
        <v/>
      </c>
      <c r="C432" s="35">
        <f>Load_Profile_15min!H432</f>
        <v/>
      </c>
      <c r="D432" s="41">
        <f>Load_Profile_15min!H432*1000</f>
        <v/>
      </c>
    </row>
    <row r="433">
      <c r="A433" s="41">
        <f>Load_Profile_15min!F433</f>
        <v/>
      </c>
      <c r="B433" s="41">
        <f>Load_Profile_15min!G433</f>
        <v/>
      </c>
      <c r="C433" s="35">
        <f>Load_Profile_15min!H433</f>
        <v/>
      </c>
      <c r="D433" s="41">
        <f>Load_Profile_15min!H433*1000</f>
        <v/>
      </c>
    </row>
    <row r="434">
      <c r="A434" s="41">
        <f>Load_Profile_15min!F434</f>
        <v/>
      </c>
      <c r="B434" s="41">
        <f>Load_Profile_15min!G434</f>
        <v/>
      </c>
      <c r="C434" s="35">
        <f>Load_Profile_15min!H434</f>
        <v/>
      </c>
      <c r="D434" s="41">
        <f>Load_Profile_15min!H434*1000</f>
        <v/>
      </c>
    </row>
    <row r="435">
      <c r="A435" s="41">
        <f>Load_Profile_15min!F435</f>
        <v/>
      </c>
      <c r="B435" s="41">
        <f>Load_Profile_15min!G435</f>
        <v/>
      </c>
      <c r="C435" s="35">
        <f>Load_Profile_15min!H435</f>
        <v/>
      </c>
      <c r="D435" s="41">
        <f>Load_Profile_15min!H435*1000</f>
        <v/>
      </c>
    </row>
    <row r="436">
      <c r="A436" s="41">
        <f>Load_Profile_15min!F436</f>
        <v/>
      </c>
      <c r="B436" s="41">
        <f>Load_Profile_15min!G436</f>
        <v/>
      </c>
      <c r="C436" s="35">
        <f>Load_Profile_15min!H436</f>
        <v/>
      </c>
      <c r="D436" s="41">
        <f>Load_Profile_15min!H436*1000</f>
        <v/>
      </c>
    </row>
    <row r="437">
      <c r="A437" s="41">
        <f>Load_Profile_15min!F437</f>
        <v/>
      </c>
      <c r="B437" s="41">
        <f>Load_Profile_15min!G437</f>
        <v/>
      </c>
      <c r="C437" s="35">
        <f>Load_Profile_15min!H437</f>
        <v/>
      </c>
      <c r="D437" s="41">
        <f>Load_Profile_15min!H437*1000</f>
        <v/>
      </c>
    </row>
    <row r="438">
      <c r="A438" s="41">
        <f>Load_Profile_15min!F438</f>
        <v/>
      </c>
      <c r="B438" s="41">
        <f>Load_Profile_15min!G438</f>
        <v/>
      </c>
      <c r="C438" s="35">
        <f>Load_Profile_15min!H438</f>
        <v/>
      </c>
      <c r="D438" s="41">
        <f>Load_Profile_15min!H438*1000</f>
        <v/>
      </c>
    </row>
    <row r="439">
      <c r="A439" s="41">
        <f>Load_Profile_15min!F439</f>
        <v/>
      </c>
      <c r="B439" s="41">
        <f>Load_Profile_15min!G439</f>
        <v/>
      </c>
      <c r="C439" s="35">
        <f>Load_Profile_15min!H439</f>
        <v/>
      </c>
      <c r="D439" s="41">
        <f>Load_Profile_15min!H439*1000</f>
        <v/>
      </c>
    </row>
    <row r="440">
      <c r="A440" s="41">
        <f>Load_Profile_15min!F440</f>
        <v/>
      </c>
      <c r="B440" s="41">
        <f>Load_Profile_15min!G440</f>
        <v/>
      </c>
      <c r="C440" s="35">
        <f>Load_Profile_15min!H440</f>
        <v/>
      </c>
      <c r="D440" s="41">
        <f>Load_Profile_15min!H440*1000</f>
        <v/>
      </c>
    </row>
    <row r="441">
      <c r="A441" s="41">
        <f>Load_Profile_15min!F441</f>
        <v/>
      </c>
      <c r="B441" s="41">
        <f>Load_Profile_15min!G441</f>
        <v/>
      </c>
      <c r="C441" s="35">
        <f>Load_Profile_15min!H441</f>
        <v/>
      </c>
      <c r="D441" s="41">
        <f>Load_Profile_15min!H441*1000</f>
        <v/>
      </c>
    </row>
    <row r="442">
      <c r="A442" s="41">
        <f>Load_Profile_15min!F442</f>
        <v/>
      </c>
      <c r="B442" s="41">
        <f>Load_Profile_15min!G442</f>
        <v/>
      </c>
      <c r="C442" s="35">
        <f>Load_Profile_15min!H442</f>
        <v/>
      </c>
      <c r="D442" s="41">
        <f>Load_Profile_15min!H442*1000</f>
        <v/>
      </c>
    </row>
    <row r="443">
      <c r="A443" s="41">
        <f>Load_Profile_15min!F443</f>
        <v/>
      </c>
      <c r="B443" s="41">
        <f>Load_Profile_15min!G443</f>
        <v/>
      </c>
      <c r="C443" s="35">
        <f>Load_Profile_15min!H443</f>
        <v/>
      </c>
      <c r="D443" s="41">
        <f>Load_Profile_15min!H443*1000</f>
        <v/>
      </c>
    </row>
    <row r="444">
      <c r="A444" s="41">
        <f>Load_Profile_15min!F444</f>
        <v/>
      </c>
      <c r="B444" s="41">
        <f>Load_Profile_15min!G444</f>
        <v/>
      </c>
      <c r="C444" s="35">
        <f>Load_Profile_15min!H444</f>
        <v/>
      </c>
      <c r="D444" s="41">
        <f>Load_Profile_15min!H444*1000</f>
        <v/>
      </c>
    </row>
    <row r="445">
      <c r="A445" s="41">
        <f>Load_Profile_15min!F445</f>
        <v/>
      </c>
      <c r="B445" s="41">
        <f>Load_Profile_15min!G445</f>
        <v/>
      </c>
      <c r="C445" s="35">
        <f>Load_Profile_15min!H445</f>
        <v/>
      </c>
      <c r="D445" s="41">
        <f>Load_Profile_15min!H445*1000</f>
        <v/>
      </c>
    </row>
    <row r="446">
      <c r="A446" s="41">
        <f>Load_Profile_15min!F446</f>
        <v/>
      </c>
      <c r="B446" s="41">
        <f>Load_Profile_15min!G446</f>
        <v/>
      </c>
      <c r="C446" s="35">
        <f>Load_Profile_15min!H446</f>
        <v/>
      </c>
      <c r="D446" s="41">
        <f>Load_Profile_15min!H446*1000</f>
        <v/>
      </c>
    </row>
    <row r="447">
      <c r="A447" s="41">
        <f>Load_Profile_15min!F447</f>
        <v/>
      </c>
      <c r="B447" s="41">
        <f>Load_Profile_15min!G447</f>
        <v/>
      </c>
      <c r="C447" s="35">
        <f>Load_Profile_15min!H447</f>
        <v/>
      </c>
      <c r="D447" s="41">
        <f>Load_Profile_15min!H447*1000</f>
        <v/>
      </c>
    </row>
    <row r="448">
      <c r="A448" s="41">
        <f>Load_Profile_15min!F448</f>
        <v/>
      </c>
      <c r="B448" s="41">
        <f>Load_Profile_15min!G448</f>
        <v/>
      </c>
      <c r="C448" s="35">
        <f>Load_Profile_15min!H448</f>
        <v/>
      </c>
      <c r="D448" s="41">
        <f>Load_Profile_15min!H448*1000</f>
        <v/>
      </c>
    </row>
    <row r="449">
      <c r="A449" s="41">
        <f>Load_Profile_15min!F449</f>
        <v/>
      </c>
      <c r="B449" s="41">
        <f>Load_Profile_15min!G449</f>
        <v/>
      </c>
      <c r="C449" s="35">
        <f>Load_Profile_15min!H449</f>
        <v/>
      </c>
      <c r="D449" s="41">
        <f>Load_Profile_15min!H449*1000</f>
        <v/>
      </c>
    </row>
    <row r="450">
      <c r="A450" s="41">
        <f>Load_Profile_15min!F450</f>
        <v/>
      </c>
      <c r="B450" s="41">
        <f>Load_Profile_15min!G450</f>
        <v/>
      </c>
      <c r="C450" s="35">
        <f>Load_Profile_15min!H450</f>
        <v/>
      </c>
      <c r="D450" s="41">
        <f>Load_Profile_15min!H450*1000</f>
        <v/>
      </c>
    </row>
    <row r="451">
      <c r="A451" s="41">
        <f>Load_Profile_15min!F451</f>
        <v/>
      </c>
      <c r="B451" s="41">
        <f>Load_Profile_15min!G451</f>
        <v/>
      </c>
      <c r="C451" s="35">
        <f>Load_Profile_15min!H451</f>
        <v/>
      </c>
      <c r="D451" s="41">
        <f>Load_Profile_15min!H451*1000</f>
        <v/>
      </c>
    </row>
    <row r="452">
      <c r="A452" s="41">
        <f>Load_Profile_15min!F452</f>
        <v/>
      </c>
      <c r="B452" s="41">
        <f>Load_Profile_15min!G452</f>
        <v/>
      </c>
      <c r="C452" s="35">
        <f>Load_Profile_15min!H452</f>
        <v/>
      </c>
      <c r="D452" s="41">
        <f>Load_Profile_15min!H452*1000</f>
        <v/>
      </c>
    </row>
    <row r="453">
      <c r="A453" s="41">
        <f>Load_Profile_15min!F453</f>
        <v/>
      </c>
      <c r="B453" s="41">
        <f>Load_Profile_15min!G453</f>
        <v/>
      </c>
      <c r="C453" s="35">
        <f>Load_Profile_15min!H453</f>
        <v/>
      </c>
      <c r="D453" s="41">
        <f>Load_Profile_15min!H453*1000</f>
        <v/>
      </c>
    </row>
    <row r="454">
      <c r="A454" s="41">
        <f>Load_Profile_15min!F454</f>
        <v/>
      </c>
      <c r="B454" s="41">
        <f>Load_Profile_15min!G454</f>
        <v/>
      </c>
      <c r="C454" s="35">
        <f>Load_Profile_15min!H454</f>
        <v/>
      </c>
      <c r="D454" s="41">
        <f>Load_Profile_15min!H454*1000</f>
        <v/>
      </c>
    </row>
    <row r="455">
      <c r="A455" s="41">
        <f>Load_Profile_15min!F455</f>
        <v/>
      </c>
      <c r="B455" s="41">
        <f>Load_Profile_15min!G455</f>
        <v/>
      </c>
      <c r="C455" s="35">
        <f>Load_Profile_15min!H455</f>
        <v/>
      </c>
      <c r="D455" s="41">
        <f>Load_Profile_15min!H455*1000</f>
        <v/>
      </c>
    </row>
    <row r="456">
      <c r="A456" s="41">
        <f>Load_Profile_15min!F456</f>
        <v/>
      </c>
      <c r="B456" s="41">
        <f>Load_Profile_15min!G456</f>
        <v/>
      </c>
      <c r="C456" s="35">
        <f>Load_Profile_15min!H456</f>
        <v/>
      </c>
      <c r="D456" s="41">
        <f>Load_Profile_15min!H456*1000</f>
        <v/>
      </c>
    </row>
    <row r="457">
      <c r="A457" s="41">
        <f>Load_Profile_15min!F457</f>
        <v/>
      </c>
      <c r="B457" s="41">
        <f>Load_Profile_15min!G457</f>
        <v/>
      </c>
      <c r="C457" s="35">
        <f>Load_Profile_15min!H457</f>
        <v/>
      </c>
      <c r="D457" s="41">
        <f>Load_Profile_15min!H457*1000</f>
        <v/>
      </c>
    </row>
    <row r="458">
      <c r="A458" s="41">
        <f>Load_Profile_15min!F458</f>
        <v/>
      </c>
      <c r="B458" s="41">
        <f>Load_Profile_15min!G458</f>
        <v/>
      </c>
      <c r="C458" s="35">
        <f>Load_Profile_15min!H458</f>
        <v/>
      </c>
      <c r="D458" s="41">
        <f>Load_Profile_15min!H458*1000</f>
        <v/>
      </c>
    </row>
    <row r="459">
      <c r="A459" s="41">
        <f>Load_Profile_15min!F459</f>
        <v/>
      </c>
      <c r="B459" s="41">
        <f>Load_Profile_15min!G459</f>
        <v/>
      </c>
      <c r="C459" s="35">
        <f>Load_Profile_15min!H459</f>
        <v/>
      </c>
      <c r="D459" s="41">
        <f>Load_Profile_15min!H459*1000</f>
        <v/>
      </c>
    </row>
    <row r="460">
      <c r="A460" s="41">
        <f>Load_Profile_15min!F460</f>
        <v/>
      </c>
      <c r="B460" s="41">
        <f>Load_Profile_15min!G460</f>
        <v/>
      </c>
      <c r="C460" s="35">
        <f>Load_Profile_15min!H460</f>
        <v/>
      </c>
      <c r="D460" s="41">
        <f>Load_Profile_15min!H460*1000</f>
        <v/>
      </c>
    </row>
    <row r="461">
      <c r="A461" s="41">
        <f>Load_Profile_15min!F461</f>
        <v/>
      </c>
      <c r="B461" s="41">
        <f>Load_Profile_15min!G461</f>
        <v/>
      </c>
      <c r="C461" s="35">
        <f>Load_Profile_15min!H461</f>
        <v/>
      </c>
      <c r="D461" s="41">
        <f>Load_Profile_15min!H461*1000</f>
        <v/>
      </c>
    </row>
    <row r="462">
      <c r="A462" s="41">
        <f>Load_Profile_15min!F462</f>
        <v/>
      </c>
      <c r="B462" s="41">
        <f>Load_Profile_15min!G462</f>
        <v/>
      </c>
      <c r="C462" s="35">
        <f>Load_Profile_15min!H462</f>
        <v/>
      </c>
      <c r="D462" s="41">
        <f>Load_Profile_15min!H462*1000</f>
        <v/>
      </c>
    </row>
    <row r="463">
      <c r="A463" s="41">
        <f>Load_Profile_15min!F463</f>
        <v/>
      </c>
      <c r="B463" s="41">
        <f>Load_Profile_15min!G463</f>
        <v/>
      </c>
      <c r="C463" s="35">
        <f>Load_Profile_15min!H463</f>
        <v/>
      </c>
      <c r="D463" s="41">
        <f>Load_Profile_15min!H463*1000</f>
        <v/>
      </c>
    </row>
    <row r="464">
      <c r="A464" s="41">
        <f>Load_Profile_15min!F464</f>
        <v/>
      </c>
      <c r="B464" s="41">
        <f>Load_Profile_15min!G464</f>
        <v/>
      </c>
      <c r="C464" s="35">
        <f>Load_Profile_15min!H464</f>
        <v/>
      </c>
      <c r="D464" s="41">
        <f>Load_Profile_15min!H464*1000</f>
        <v/>
      </c>
    </row>
    <row r="465">
      <c r="A465" s="41">
        <f>Load_Profile_15min!F465</f>
        <v/>
      </c>
      <c r="B465" s="41">
        <f>Load_Profile_15min!G465</f>
        <v/>
      </c>
      <c r="C465" s="35">
        <f>Load_Profile_15min!H465</f>
        <v/>
      </c>
      <c r="D465" s="41">
        <f>Load_Profile_15min!H465*1000</f>
        <v/>
      </c>
    </row>
    <row r="466">
      <c r="A466" s="41">
        <f>Load_Profile_15min!F466</f>
        <v/>
      </c>
      <c r="B466" s="41">
        <f>Load_Profile_15min!G466</f>
        <v/>
      </c>
      <c r="C466" s="35">
        <f>Load_Profile_15min!H466</f>
        <v/>
      </c>
      <c r="D466" s="41">
        <f>Load_Profile_15min!H466*1000</f>
        <v/>
      </c>
    </row>
    <row r="467">
      <c r="A467" s="41">
        <f>Load_Profile_15min!F467</f>
        <v/>
      </c>
      <c r="B467" s="41">
        <f>Load_Profile_15min!G467</f>
        <v/>
      </c>
      <c r="C467" s="35">
        <f>Load_Profile_15min!H467</f>
        <v/>
      </c>
      <c r="D467" s="41">
        <f>Load_Profile_15min!H467*1000</f>
        <v/>
      </c>
    </row>
    <row r="468">
      <c r="A468" s="41">
        <f>Load_Profile_15min!F468</f>
        <v/>
      </c>
      <c r="B468" s="41">
        <f>Load_Profile_15min!G468</f>
        <v/>
      </c>
      <c r="C468" s="35">
        <f>Load_Profile_15min!H468</f>
        <v/>
      </c>
      <c r="D468" s="41">
        <f>Load_Profile_15min!H468*1000</f>
        <v/>
      </c>
    </row>
    <row r="469">
      <c r="A469" s="41">
        <f>Load_Profile_15min!F469</f>
        <v/>
      </c>
      <c r="B469" s="41">
        <f>Load_Profile_15min!G469</f>
        <v/>
      </c>
      <c r="C469" s="35">
        <f>Load_Profile_15min!H469</f>
        <v/>
      </c>
      <c r="D469" s="41">
        <f>Load_Profile_15min!H469*1000</f>
        <v/>
      </c>
    </row>
    <row r="470">
      <c r="A470" s="41">
        <f>Load_Profile_15min!F470</f>
        <v/>
      </c>
      <c r="B470" s="41">
        <f>Load_Profile_15min!G470</f>
        <v/>
      </c>
      <c r="C470" s="35">
        <f>Load_Profile_15min!H470</f>
        <v/>
      </c>
      <c r="D470" s="41">
        <f>Load_Profile_15min!H470*1000</f>
        <v/>
      </c>
    </row>
    <row r="471">
      <c r="A471" s="41">
        <f>Load_Profile_15min!F471</f>
        <v/>
      </c>
      <c r="B471" s="41">
        <f>Load_Profile_15min!G471</f>
        <v/>
      </c>
      <c r="C471" s="35">
        <f>Load_Profile_15min!H471</f>
        <v/>
      </c>
      <c r="D471" s="41">
        <f>Load_Profile_15min!H471*1000</f>
        <v/>
      </c>
    </row>
    <row r="472">
      <c r="A472" s="41">
        <f>Load_Profile_15min!F472</f>
        <v/>
      </c>
      <c r="B472" s="41">
        <f>Load_Profile_15min!G472</f>
        <v/>
      </c>
      <c r="C472" s="35">
        <f>Load_Profile_15min!H472</f>
        <v/>
      </c>
      <c r="D472" s="41">
        <f>Load_Profile_15min!H472*1000</f>
        <v/>
      </c>
    </row>
    <row r="473">
      <c r="A473" s="41">
        <f>Load_Profile_15min!F473</f>
        <v/>
      </c>
      <c r="B473" s="41">
        <f>Load_Profile_15min!G473</f>
        <v/>
      </c>
      <c r="C473" s="35">
        <f>Load_Profile_15min!H473</f>
        <v/>
      </c>
      <c r="D473" s="41">
        <f>Load_Profile_15min!H473*1000</f>
        <v/>
      </c>
    </row>
    <row r="474">
      <c r="A474" s="41">
        <f>Load_Profile_15min!F474</f>
        <v/>
      </c>
      <c r="B474" s="41">
        <f>Load_Profile_15min!G474</f>
        <v/>
      </c>
      <c r="C474" s="35">
        <f>Load_Profile_15min!H474</f>
        <v/>
      </c>
      <c r="D474" s="41">
        <f>Load_Profile_15min!H474*1000</f>
        <v/>
      </c>
    </row>
    <row r="475">
      <c r="A475" s="41">
        <f>Load_Profile_15min!F475</f>
        <v/>
      </c>
      <c r="B475" s="41">
        <f>Load_Profile_15min!G475</f>
        <v/>
      </c>
      <c r="C475" s="35">
        <f>Load_Profile_15min!H475</f>
        <v/>
      </c>
      <c r="D475" s="41">
        <f>Load_Profile_15min!H475*1000</f>
        <v/>
      </c>
    </row>
    <row r="476">
      <c r="A476" s="41">
        <f>Load_Profile_15min!F476</f>
        <v/>
      </c>
      <c r="B476" s="41">
        <f>Load_Profile_15min!G476</f>
        <v/>
      </c>
      <c r="C476" s="35">
        <f>Load_Profile_15min!H476</f>
        <v/>
      </c>
      <c r="D476" s="41">
        <f>Load_Profile_15min!H476*1000</f>
        <v/>
      </c>
    </row>
    <row r="477">
      <c r="A477" s="41">
        <f>Load_Profile_15min!F477</f>
        <v/>
      </c>
      <c r="B477" s="41">
        <f>Load_Profile_15min!G477</f>
        <v/>
      </c>
      <c r="C477" s="35">
        <f>Load_Profile_15min!H477</f>
        <v/>
      </c>
      <c r="D477" s="41">
        <f>Load_Profile_15min!H477*1000</f>
        <v/>
      </c>
    </row>
    <row r="478">
      <c r="A478" s="41">
        <f>Load_Profile_15min!F478</f>
        <v/>
      </c>
      <c r="B478" s="41">
        <f>Load_Profile_15min!G478</f>
        <v/>
      </c>
      <c r="C478" s="35">
        <f>Load_Profile_15min!H478</f>
        <v/>
      </c>
      <c r="D478" s="41">
        <f>Load_Profile_15min!H478*1000</f>
        <v/>
      </c>
    </row>
    <row r="479">
      <c r="A479" s="41">
        <f>Load_Profile_15min!F479</f>
        <v/>
      </c>
      <c r="B479" s="41">
        <f>Load_Profile_15min!G479</f>
        <v/>
      </c>
      <c r="C479" s="35">
        <f>Load_Profile_15min!H479</f>
        <v/>
      </c>
      <c r="D479" s="41">
        <f>Load_Profile_15min!H479*1000</f>
        <v/>
      </c>
    </row>
    <row r="480">
      <c r="A480" s="41">
        <f>Load_Profile_15min!F480</f>
        <v/>
      </c>
      <c r="B480" s="41">
        <f>Load_Profile_15min!G480</f>
        <v/>
      </c>
      <c r="C480" s="35">
        <f>Load_Profile_15min!H480</f>
        <v/>
      </c>
      <c r="D480" s="41">
        <f>Load_Profile_15min!H480*1000</f>
        <v/>
      </c>
    </row>
    <row r="481">
      <c r="A481" s="41">
        <f>Load_Profile_15min!F481</f>
        <v/>
      </c>
      <c r="B481" s="41">
        <f>Load_Profile_15min!G481</f>
        <v/>
      </c>
      <c r="C481" s="35">
        <f>Load_Profile_15min!H481</f>
        <v/>
      </c>
      <c r="D481" s="41">
        <f>Load_Profile_15min!H481*1000</f>
        <v/>
      </c>
    </row>
    <row r="482">
      <c r="A482" s="41">
        <f>Load_Profile_15min!F482</f>
        <v/>
      </c>
      <c r="B482" s="41">
        <f>Load_Profile_15min!G482</f>
        <v/>
      </c>
      <c r="C482" s="35">
        <f>Load_Profile_15min!H482</f>
        <v/>
      </c>
      <c r="D482" s="41">
        <f>Load_Profile_15min!H482*1000</f>
        <v/>
      </c>
    </row>
    <row r="483">
      <c r="A483" s="41">
        <f>Load_Profile_15min!F483</f>
        <v/>
      </c>
      <c r="B483" s="41">
        <f>Load_Profile_15min!G483</f>
        <v/>
      </c>
      <c r="C483" s="35">
        <f>Load_Profile_15min!H483</f>
        <v/>
      </c>
      <c r="D483" s="41">
        <f>Load_Profile_15min!H483*1000</f>
        <v/>
      </c>
    </row>
    <row r="484">
      <c r="A484" s="41">
        <f>Load_Profile_15min!F484</f>
        <v/>
      </c>
      <c r="B484" s="41">
        <f>Load_Profile_15min!G484</f>
        <v/>
      </c>
      <c r="C484" s="35">
        <f>Load_Profile_15min!H484</f>
        <v/>
      </c>
      <c r="D484" s="41">
        <f>Load_Profile_15min!H484*1000</f>
        <v/>
      </c>
    </row>
    <row r="485">
      <c r="A485" s="41">
        <f>Load_Profile_15min!F485</f>
        <v/>
      </c>
      <c r="B485" s="41">
        <f>Load_Profile_15min!G485</f>
        <v/>
      </c>
      <c r="C485" s="35">
        <f>Load_Profile_15min!H485</f>
        <v/>
      </c>
      <c r="D485" s="41">
        <f>Load_Profile_15min!H485*1000</f>
        <v/>
      </c>
    </row>
    <row r="486">
      <c r="A486" s="41">
        <f>Load_Profile_15min!F486</f>
        <v/>
      </c>
      <c r="B486" s="41">
        <f>Load_Profile_15min!G486</f>
        <v/>
      </c>
      <c r="C486" s="35">
        <f>Load_Profile_15min!H486</f>
        <v/>
      </c>
      <c r="D486" s="41">
        <f>Load_Profile_15min!H486*1000</f>
        <v/>
      </c>
    </row>
    <row r="487">
      <c r="A487" s="41">
        <f>Load_Profile_15min!F487</f>
        <v/>
      </c>
      <c r="B487" s="41">
        <f>Load_Profile_15min!G487</f>
        <v/>
      </c>
      <c r="C487" s="35">
        <f>Load_Profile_15min!H487</f>
        <v/>
      </c>
      <c r="D487" s="41">
        <f>Load_Profile_15min!H487*1000</f>
        <v/>
      </c>
    </row>
    <row r="488">
      <c r="A488" s="41">
        <f>Load_Profile_15min!F488</f>
        <v/>
      </c>
      <c r="B488" s="41">
        <f>Load_Profile_15min!G488</f>
        <v/>
      </c>
      <c r="C488" s="35">
        <f>Load_Profile_15min!H488</f>
        <v/>
      </c>
      <c r="D488" s="41">
        <f>Load_Profile_15min!H488*1000</f>
        <v/>
      </c>
    </row>
    <row r="489">
      <c r="A489" s="41">
        <f>Load_Profile_15min!F489</f>
        <v/>
      </c>
      <c r="B489" s="41">
        <f>Load_Profile_15min!G489</f>
        <v/>
      </c>
      <c r="C489" s="35">
        <f>Load_Profile_15min!H489</f>
        <v/>
      </c>
      <c r="D489" s="41">
        <f>Load_Profile_15min!H489*1000</f>
        <v/>
      </c>
    </row>
    <row r="490">
      <c r="A490" s="41">
        <f>Load_Profile_15min!F490</f>
        <v/>
      </c>
      <c r="B490" s="41">
        <f>Load_Profile_15min!G490</f>
        <v/>
      </c>
      <c r="C490" s="35">
        <f>Load_Profile_15min!H490</f>
        <v/>
      </c>
      <c r="D490" s="41">
        <f>Load_Profile_15min!H490*1000</f>
        <v/>
      </c>
    </row>
    <row r="491">
      <c r="A491" s="41">
        <f>Load_Profile_15min!F491</f>
        <v/>
      </c>
      <c r="B491" s="41">
        <f>Load_Profile_15min!G491</f>
        <v/>
      </c>
      <c r="C491" s="35">
        <f>Load_Profile_15min!H491</f>
        <v/>
      </c>
      <c r="D491" s="41">
        <f>Load_Profile_15min!H491*1000</f>
        <v/>
      </c>
    </row>
    <row r="492">
      <c r="A492" s="41">
        <f>Load_Profile_15min!F492</f>
        <v/>
      </c>
      <c r="B492" s="41">
        <f>Load_Profile_15min!G492</f>
        <v/>
      </c>
      <c r="C492" s="35">
        <f>Load_Profile_15min!H492</f>
        <v/>
      </c>
      <c r="D492" s="41">
        <f>Load_Profile_15min!H492*1000</f>
        <v/>
      </c>
    </row>
    <row r="493">
      <c r="A493" s="41">
        <f>Load_Profile_15min!F493</f>
        <v/>
      </c>
      <c r="B493" s="41">
        <f>Load_Profile_15min!G493</f>
        <v/>
      </c>
      <c r="C493" s="35">
        <f>Load_Profile_15min!H493</f>
        <v/>
      </c>
      <c r="D493" s="41">
        <f>Load_Profile_15min!H493*1000</f>
        <v/>
      </c>
    </row>
    <row r="494">
      <c r="A494" s="41">
        <f>Load_Profile_15min!F494</f>
        <v/>
      </c>
      <c r="B494" s="41">
        <f>Load_Profile_15min!G494</f>
        <v/>
      </c>
      <c r="C494" s="35">
        <f>Load_Profile_15min!H494</f>
        <v/>
      </c>
      <c r="D494" s="41">
        <f>Load_Profile_15min!H494*1000</f>
        <v/>
      </c>
    </row>
    <row r="495">
      <c r="A495" s="41">
        <f>Load_Profile_15min!F495</f>
        <v/>
      </c>
      <c r="B495" s="41">
        <f>Load_Profile_15min!G495</f>
        <v/>
      </c>
      <c r="C495" s="35">
        <f>Load_Profile_15min!H495</f>
        <v/>
      </c>
      <c r="D495" s="41">
        <f>Load_Profile_15min!H495*1000</f>
        <v/>
      </c>
    </row>
    <row r="496">
      <c r="A496" s="41">
        <f>Load_Profile_15min!F496</f>
        <v/>
      </c>
      <c r="B496" s="41">
        <f>Load_Profile_15min!G496</f>
        <v/>
      </c>
      <c r="C496" s="35">
        <f>Load_Profile_15min!H496</f>
        <v/>
      </c>
      <c r="D496" s="41">
        <f>Load_Profile_15min!H496*1000</f>
        <v/>
      </c>
    </row>
    <row r="497">
      <c r="A497" s="41">
        <f>Load_Profile_15min!F497</f>
        <v/>
      </c>
      <c r="B497" s="41">
        <f>Load_Profile_15min!G497</f>
        <v/>
      </c>
      <c r="C497" s="35">
        <f>Load_Profile_15min!H497</f>
        <v/>
      </c>
      <c r="D497" s="41">
        <f>Load_Profile_15min!H497*1000</f>
        <v/>
      </c>
    </row>
    <row r="498">
      <c r="A498" s="41">
        <f>Load_Profile_15min!F498</f>
        <v/>
      </c>
      <c r="B498" s="41">
        <f>Load_Profile_15min!G498</f>
        <v/>
      </c>
      <c r="C498" s="35">
        <f>Load_Profile_15min!H498</f>
        <v/>
      </c>
      <c r="D498" s="41">
        <f>Load_Profile_15min!H498*1000</f>
        <v/>
      </c>
    </row>
    <row r="499">
      <c r="A499" s="41">
        <f>Load_Profile_15min!F499</f>
        <v/>
      </c>
      <c r="B499" s="41">
        <f>Load_Profile_15min!G499</f>
        <v/>
      </c>
      <c r="C499" s="35">
        <f>Load_Profile_15min!H499</f>
        <v/>
      </c>
      <c r="D499" s="41">
        <f>Load_Profile_15min!H499*1000</f>
        <v/>
      </c>
    </row>
    <row r="500">
      <c r="A500" s="41">
        <f>Load_Profile_15min!F500</f>
        <v/>
      </c>
      <c r="B500" s="41">
        <f>Load_Profile_15min!G500</f>
        <v/>
      </c>
      <c r="C500" s="35">
        <f>Load_Profile_15min!H500</f>
        <v/>
      </c>
      <c r="D500" s="41">
        <f>Load_Profile_15min!H500*1000</f>
        <v/>
      </c>
    </row>
    <row r="501">
      <c r="A501" s="41">
        <f>Load_Profile_15min!F501</f>
        <v/>
      </c>
      <c r="B501" s="41">
        <f>Load_Profile_15min!G501</f>
        <v/>
      </c>
      <c r="C501" s="35">
        <f>Load_Profile_15min!H501</f>
        <v/>
      </c>
      <c r="D501" s="41">
        <f>Load_Profile_15min!H501*1000</f>
        <v/>
      </c>
    </row>
    <row r="502">
      <c r="A502" s="41">
        <f>Load_Profile_15min!F502</f>
        <v/>
      </c>
      <c r="B502" s="41">
        <f>Load_Profile_15min!G502</f>
        <v/>
      </c>
      <c r="C502" s="35">
        <f>Load_Profile_15min!H502</f>
        <v/>
      </c>
      <c r="D502" s="41">
        <f>Load_Profile_15min!H502*1000</f>
        <v/>
      </c>
    </row>
    <row r="503">
      <c r="A503" s="41">
        <f>Load_Profile_15min!F503</f>
        <v/>
      </c>
      <c r="B503" s="41">
        <f>Load_Profile_15min!G503</f>
        <v/>
      </c>
      <c r="C503" s="35">
        <f>Load_Profile_15min!H503</f>
        <v/>
      </c>
      <c r="D503" s="41">
        <f>Load_Profile_15min!H503*1000</f>
        <v/>
      </c>
    </row>
    <row r="504">
      <c r="A504" s="41">
        <f>Load_Profile_15min!F504</f>
        <v/>
      </c>
      <c r="B504" s="41">
        <f>Load_Profile_15min!G504</f>
        <v/>
      </c>
      <c r="C504" s="35">
        <f>Load_Profile_15min!H504</f>
        <v/>
      </c>
      <c r="D504" s="41">
        <f>Load_Profile_15min!H504*1000</f>
        <v/>
      </c>
    </row>
    <row r="505">
      <c r="A505" s="41">
        <f>Load_Profile_15min!F505</f>
        <v/>
      </c>
      <c r="B505" s="41">
        <f>Load_Profile_15min!G505</f>
        <v/>
      </c>
      <c r="C505" s="35">
        <f>Load_Profile_15min!H505</f>
        <v/>
      </c>
      <c r="D505" s="41">
        <f>Load_Profile_15min!H505*1000</f>
        <v/>
      </c>
    </row>
    <row r="506">
      <c r="A506" s="41">
        <f>Load_Profile_15min!F506</f>
        <v/>
      </c>
      <c r="B506" s="41">
        <f>Load_Profile_15min!G506</f>
        <v/>
      </c>
      <c r="C506" s="35">
        <f>Load_Profile_15min!H506</f>
        <v/>
      </c>
      <c r="D506" s="41">
        <f>Load_Profile_15min!H506*1000</f>
        <v/>
      </c>
    </row>
    <row r="507">
      <c r="A507" s="41">
        <f>Load_Profile_15min!F507</f>
        <v/>
      </c>
      <c r="B507" s="41">
        <f>Load_Profile_15min!G507</f>
        <v/>
      </c>
      <c r="C507" s="35">
        <f>Load_Profile_15min!H507</f>
        <v/>
      </c>
      <c r="D507" s="41">
        <f>Load_Profile_15min!H507*1000</f>
        <v/>
      </c>
    </row>
    <row r="508">
      <c r="A508" s="41">
        <f>Load_Profile_15min!F508</f>
        <v/>
      </c>
      <c r="B508" s="41">
        <f>Load_Profile_15min!G508</f>
        <v/>
      </c>
      <c r="C508" s="35">
        <f>Load_Profile_15min!H508</f>
        <v/>
      </c>
      <c r="D508" s="41">
        <f>Load_Profile_15min!H508*1000</f>
        <v/>
      </c>
    </row>
    <row r="509">
      <c r="A509" s="41">
        <f>Load_Profile_15min!F509</f>
        <v/>
      </c>
      <c r="B509" s="41">
        <f>Load_Profile_15min!G509</f>
        <v/>
      </c>
      <c r="C509" s="35">
        <f>Load_Profile_15min!H509</f>
        <v/>
      </c>
      <c r="D509" s="41">
        <f>Load_Profile_15min!H509*1000</f>
        <v/>
      </c>
    </row>
    <row r="510">
      <c r="A510" s="41">
        <f>Load_Profile_15min!F510</f>
        <v/>
      </c>
      <c r="B510" s="41">
        <f>Load_Profile_15min!G510</f>
        <v/>
      </c>
      <c r="C510" s="35">
        <f>Load_Profile_15min!H510</f>
        <v/>
      </c>
      <c r="D510" s="41">
        <f>Load_Profile_15min!H510*1000</f>
        <v/>
      </c>
    </row>
    <row r="511">
      <c r="A511" s="41">
        <f>Load_Profile_15min!F511</f>
        <v/>
      </c>
      <c r="B511" s="41">
        <f>Load_Profile_15min!G511</f>
        <v/>
      </c>
      <c r="C511" s="35">
        <f>Load_Profile_15min!H511</f>
        <v/>
      </c>
      <c r="D511" s="41">
        <f>Load_Profile_15min!H511*1000</f>
        <v/>
      </c>
    </row>
    <row r="512">
      <c r="A512" s="41">
        <f>Load_Profile_15min!F512</f>
        <v/>
      </c>
      <c r="B512" s="41">
        <f>Load_Profile_15min!G512</f>
        <v/>
      </c>
      <c r="C512" s="35">
        <f>Load_Profile_15min!H512</f>
        <v/>
      </c>
      <c r="D512" s="41">
        <f>Load_Profile_15min!H512*1000</f>
        <v/>
      </c>
    </row>
    <row r="513">
      <c r="A513" s="41">
        <f>Load_Profile_15min!F513</f>
        <v/>
      </c>
      <c r="B513" s="41">
        <f>Load_Profile_15min!G513</f>
        <v/>
      </c>
      <c r="C513" s="35">
        <f>Load_Profile_15min!H513</f>
        <v/>
      </c>
      <c r="D513" s="41">
        <f>Load_Profile_15min!H513*1000</f>
        <v/>
      </c>
    </row>
    <row r="514">
      <c r="A514" s="41">
        <f>Load_Profile_15min!F514</f>
        <v/>
      </c>
      <c r="B514" s="41">
        <f>Load_Profile_15min!G514</f>
        <v/>
      </c>
      <c r="C514" s="35">
        <f>Load_Profile_15min!H514</f>
        <v/>
      </c>
      <c r="D514" s="41">
        <f>Load_Profile_15min!H514*1000</f>
        <v/>
      </c>
    </row>
    <row r="515">
      <c r="A515" s="41">
        <f>Load_Profile_15min!F515</f>
        <v/>
      </c>
      <c r="B515" s="41">
        <f>Load_Profile_15min!G515</f>
        <v/>
      </c>
      <c r="C515" s="35">
        <f>Load_Profile_15min!H515</f>
        <v/>
      </c>
      <c r="D515" s="41">
        <f>Load_Profile_15min!H515*1000</f>
        <v/>
      </c>
    </row>
    <row r="516">
      <c r="A516" s="41">
        <f>Load_Profile_15min!F516</f>
        <v/>
      </c>
      <c r="B516" s="41">
        <f>Load_Profile_15min!G516</f>
        <v/>
      </c>
      <c r="C516" s="35">
        <f>Load_Profile_15min!H516</f>
        <v/>
      </c>
      <c r="D516" s="41">
        <f>Load_Profile_15min!H516*1000</f>
        <v/>
      </c>
    </row>
    <row r="517">
      <c r="A517" s="41">
        <f>Load_Profile_15min!F517</f>
        <v/>
      </c>
      <c r="B517" s="41">
        <f>Load_Profile_15min!G517</f>
        <v/>
      </c>
      <c r="C517" s="35">
        <f>Load_Profile_15min!H517</f>
        <v/>
      </c>
      <c r="D517" s="41">
        <f>Load_Profile_15min!H517*1000</f>
        <v/>
      </c>
    </row>
    <row r="518">
      <c r="A518" s="41">
        <f>Load_Profile_15min!F518</f>
        <v/>
      </c>
      <c r="B518" s="41">
        <f>Load_Profile_15min!G518</f>
        <v/>
      </c>
      <c r="C518" s="35">
        <f>Load_Profile_15min!H518</f>
        <v/>
      </c>
      <c r="D518" s="41">
        <f>Load_Profile_15min!H518*1000</f>
        <v/>
      </c>
    </row>
    <row r="519">
      <c r="A519" s="41">
        <f>Load_Profile_15min!F519</f>
        <v/>
      </c>
      <c r="B519" s="41">
        <f>Load_Profile_15min!G519</f>
        <v/>
      </c>
      <c r="C519" s="35">
        <f>Load_Profile_15min!H519</f>
        <v/>
      </c>
      <c r="D519" s="41">
        <f>Load_Profile_15min!H519*1000</f>
        <v/>
      </c>
    </row>
    <row r="520">
      <c r="A520" s="41">
        <f>Load_Profile_15min!F520</f>
        <v/>
      </c>
      <c r="B520" s="41">
        <f>Load_Profile_15min!G520</f>
        <v/>
      </c>
      <c r="C520" s="35">
        <f>Load_Profile_15min!H520</f>
        <v/>
      </c>
      <c r="D520" s="41">
        <f>Load_Profile_15min!H520*1000</f>
        <v/>
      </c>
    </row>
    <row r="521">
      <c r="A521" s="41">
        <f>Load_Profile_15min!F521</f>
        <v/>
      </c>
      <c r="B521" s="41">
        <f>Load_Profile_15min!G521</f>
        <v/>
      </c>
      <c r="C521" s="35">
        <f>Load_Profile_15min!H521</f>
        <v/>
      </c>
      <c r="D521" s="41">
        <f>Load_Profile_15min!H521*1000</f>
        <v/>
      </c>
    </row>
    <row r="522">
      <c r="A522" s="41">
        <f>Load_Profile_15min!F522</f>
        <v/>
      </c>
      <c r="B522" s="41">
        <f>Load_Profile_15min!G522</f>
        <v/>
      </c>
      <c r="C522" s="35">
        <f>Load_Profile_15min!H522</f>
        <v/>
      </c>
      <c r="D522" s="41">
        <f>Load_Profile_15min!H522*1000</f>
        <v/>
      </c>
    </row>
    <row r="523">
      <c r="A523" s="41">
        <f>Load_Profile_15min!F523</f>
        <v/>
      </c>
      <c r="B523" s="41">
        <f>Load_Profile_15min!G523</f>
        <v/>
      </c>
      <c r="C523" s="35">
        <f>Load_Profile_15min!H523</f>
        <v/>
      </c>
      <c r="D523" s="41">
        <f>Load_Profile_15min!H523*1000</f>
        <v/>
      </c>
    </row>
    <row r="524">
      <c r="A524" s="41">
        <f>Load_Profile_15min!F524</f>
        <v/>
      </c>
      <c r="B524" s="41">
        <f>Load_Profile_15min!G524</f>
        <v/>
      </c>
      <c r="C524" s="35">
        <f>Load_Profile_15min!H524</f>
        <v/>
      </c>
      <c r="D524" s="41">
        <f>Load_Profile_15min!H524*1000</f>
        <v/>
      </c>
    </row>
    <row r="525">
      <c r="A525" s="41">
        <f>Load_Profile_15min!F525</f>
        <v/>
      </c>
      <c r="B525" s="41">
        <f>Load_Profile_15min!G525</f>
        <v/>
      </c>
      <c r="C525" s="35">
        <f>Load_Profile_15min!H525</f>
        <v/>
      </c>
      <c r="D525" s="41">
        <f>Load_Profile_15min!H525*1000</f>
        <v/>
      </c>
    </row>
    <row r="526">
      <c r="A526" s="41">
        <f>Load_Profile_15min!F526</f>
        <v/>
      </c>
      <c r="B526" s="41">
        <f>Load_Profile_15min!G526</f>
        <v/>
      </c>
      <c r="C526" s="35">
        <f>Load_Profile_15min!H526</f>
        <v/>
      </c>
      <c r="D526" s="41">
        <f>Load_Profile_15min!H526*1000</f>
        <v/>
      </c>
    </row>
    <row r="527">
      <c r="A527" s="41">
        <f>Load_Profile_15min!F527</f>
        <v/>
      </c>
      <c r="B527" s="41">
        <f>Load_Profile_15min!G527</f>
        <v/>
      </c>
      <c r="C527" s="35">
        <f>Load_Profile_15min!H527</f>
        <v/>
      </c>
      <c r="D527" s="41">
        <f>Load_Profile_15min!H527*1000</f>
        <v/>
      </c>
    </row>
    <row r="528">
      <c r="A528" s="41">
        <f>Load_Profile_15min!F528</f>
        <v/>
      </c>
      <c r="B528" s="41">
        <f>Load_Profile_15min!G528</f>
        <v/>
      </c>
      <c r="C528" s="35">
        <f>Load_Profile_15min!H528</f>
        <v/>
      </c>
      <c r="D528" s="41">
        <f>Load_Profile_15min!H528*1000</f>
        <v/>
      </c>
    </row>
    <row r="529">
      <c r="A529" s="41">
        <f>Load_Profile_15min!F529</f>
        <v/>
      </c>
      <c r="B529" s="41">
        <f>Load_Profile_15min!G529</f>
        <v/>
      </c>
      <c r="C529" s="35">
        <f>Load_Profile_15min!H529</f>
        <v/>
      </c>
      <c r="D529" s="41">
        <f>Load_Profile_15min!H529*1000</f>
        <v/>
      </c>
    </row>
    <row r="530">
      <c r="A530" s="41">
        <f>Load_Profile_15min!F530</f>
        <v/>
      </c>
      <c r="B530" s="41">
        <f>Load_Profile_15min!G530</f>
        <v/>
      </c>
      <c r="C530" s="35">
        <f>Load_Profile_15min!H530</f>
        <v/>
      </c>
      <c r="D530" s="41">
        <f>Load_Profile_15min!H530*1000</f>
        <v/>
      </c>
    </row>
    <row r="531">
      <c r="A531" s="41">
        <f>Load_Profile_15min!F531</f>
        <v/>
      </c>
      <c r="B531" s="41">
        <f>Load_Profile_15min!G531</f>
        <v/>
      </c>
      <c r="C531" s="35">
        <f>Load_Profile_15min!H531</f>
        <v/>
      </c>
      <c r="D531" s="41">
        <f>Load_Profile_15min!H531*1000</f>
        <v/>
      </c>
    </row>
    <row r="532">
      <c r="A532" s="41">
        <f>Load_Profile_15min!F532</f>
        <v/>
      </c>
      <c r="B532" s="41">
        <f>Load_Profile_15min!G532</f>
        <v/>
      </c>
      <c r="C532" s="35">
        <f>Load_Profile_15min!H532</f>
        <v/>
      </c>
      <c r="D532" s="41">
        <f>Load_Profile_15min!H532*1000</f>
        <v/>
      </c>
    </row>
    <row r="533">
      <c r="A533" s="41">
        <f>Load_Profile_15min!F533</f>
        <v/>
      </c>
      <c r="B533" s="41">
        <f>Load_Profile_15min!G533</f>
        <v/>
      </c>
      <c r="C533" s="35">
        <f>Load_Profile_15min!H533</f>
        <v/>
      </c>
      <c r="D533" s="41">
        <f>Load_Profile_15min!H533*1000</f>
        <v/>
      </c>
    </row>
    <row r="534">
      <c r="A534" s="41">
        <f>Load_Profile_15min!F534</f>
        <v/>
      </c>
      <c r="B534" s="41">
        <f>Load_Profile_15min!G534</f>
        <v/>
      </c>
      <c r="C534" s="35">
        <f>Load_Profile_15min!H534</f>
        <v/>
      </c>
      <c r="D534" s="41">
        <f>Load_Profile_15min!H534*1000</f>
        <v/>
      </c>
    </row>
    <row r="535">
      <c r="A535" s="41">
        <f>Load_Profile_15min!F535</f>
        <v/>
      </c>
      <c r="B535" s="41">
        <f>Load_Profile_15min!G535</f>
        <v/>
      </c>
      <c r="C535" s="35">
        <f>Load_Profile_15min!H535</f>
        <v/>
      </c>
      <c r="D535" s="41">
        <f>Load_Profile_15min!H535*1000</f>
        <v/>
      </c>
    </row>
    <row r="536">
      <c r="A536" s="41">
        <f>Load_Profile_15min!F536</f>
        <v/>
      </c>
      <c r="B536" s="41">
        <f>Load_Profile_15min!G536</f>
        <v/>
      </c>
      <c r="C536" s="35">
        <f>Load_Profile_15min!H536</f>
        <v/>
      </c>
      <c r="D536" s="41">
        <f>Load_Profile_15min!H536*1000</f>
        <v/>
      </c>
    </row>
    <row r="537">
      <c r="A537" s="41">
        <f>Load_Profile_15min!F537</f>
        <v/>
      </c>
      <c r="B537" s="41">
        <f>Load_Profile_15min!G537</f>
        <v/>
      </c>
      <c r="C537" s="35">
        <f>Load_Profile_15min!H537</f>
        <v/>
      </c>
      <c r="D537" s="41">
        <f>Load_Profile_15min!H537*1000</f>
        <v/>
      </c>
    </row>
    <row r="538">
      <c r="A538" s="41">
        <f>Load_Profile_15min!F538</f>
        <v/>
      </c>
      <c r="B538" s="41">
        <f>Load_Profile_15min!G538</f>
        <v/>
      </c>
      <c r="C538" s="35">
        <f>Load_Profile_15min!H538</f>
        <v/>
      </c>
      <c r="D538" s="41">
        <f>Load_Profile_15min!H538*1000</f>
        <v/>
      </c>
    </row>
    <row r="539">
      <c r="A539" s="41">
        <f>Load_Profile_15min!F539</f>
        <v/>
      </c>
      <c r="B539" s="41">
        <f>Load_Profile_15min!G539</f>
        <v/>
      </c>
      <c r="C539" s="35">
        <f>Load_Profile_15min!H539</f>
        <v/>
      </c>
      <c r="D539" s="41">
        <f>Load_Profile_15min!H539*1000</f>
        <v/>
      </c>
    </row>
    <row r="540">
      <c r="A540" s="41">
        <f>Load_Profile_15min!F540</f>
        <v/>
      </c>
      <c r="B540" s="41">
        <f>Load_Profile_15min!G540</f>
        <v/>
      </c>
      <c r="C540" s="35">
        <f>Load_Profile_15min!H540</f>
        <v/>
      </c>
      <c r="D540" s="41">
        <f>Load_Profile_15min!H540*1000</f>
        <v/>
      </c>
    </row>
    <row r="541">
      <c r="A541" s="41">
        <f>Load_Profile_15min!F541</f>
        <v/>
      </c>
      <c r="B541" s="41">
        <f>Load_Profile_15min!G541</f>
        <v/>
      </c>
      <c r="C541" s="35">
        <f>Load_Profile_15min!H541</f>
        <v/>
      </c>
      <c r="D541" s="41">
        <f>Load_Profile_15min!H541*1000</f>
        <v/>
      </c>
    </row>
    <row r="542">
      <c r="A542" s="41">
        <f>Load_Profile_15min!F542</f>
        <v/>
      </c>
      <c r="B542" s="41">
        <f>Load_Profile_15min!G542</f>
        <v/>
      </c>
      <c r="C542" s="35">
        <f>Load_Profile_15min!H542</f>
        <v/>
      </c>
      <c r="D542" s="41">
        <f>Load_Profile_15min!H542*1000</f>
        <v/>
      </c>
    </row>
    <row r="543">
      <c r="A543" s="41">
        <f>Load_Profile_15min!F543</f>
        <v/>
      </c>
      <c r="B543" s="41">
        <f>Load_Profile_15min!G543</f>
        <v/>
      </c>
      <c r="C543" s="35">
        <f>Load_Profile_15min!H543</f>
        <v/>
      </c>
      <c r="D543" s="41">
        <f>Load_Profile_15min!H543*1000</f>
        <v/>
      </c>
    </row>
    <row r="544">
      <c r="A544" s="41">
        <f>Load_Profile_15min!F544</f>
        <v/>
      </c>
      <c r="B544" s="41">
        <f>Load_Profile_15min!G544</f>
        <v/>
      </c>
      <c r="C544" s="35">
        <f>Load_Profile_15min!H544</f>
        <v/>
      </c>
      <c r="D544" s="41">
        <f>Load_Profile_15min!H544*1000</f>
        <v/>
      </c>
    </row>
    <row r="545">
      <c r="A545" s="41">
        <f>Load_Profile_15min!F545</f>
        <v/>
      </c>
      <c r="B545" s="41">
        <f>Load_Profile_15min!G545</f>
        <v/>
      </c>
      <c r="C545" s="35">
        <f>Load_Profile_15min!H545</f>
        <v/>
      </c>
      <c r="D545" s="41">
        <f>Load_Profile_15min!H545*1000</f>
        <v/>
      </c>
    </row>
    <row r="546">
      <c r="A546" s="41">
        <f>Load_Profile_15min!F546</f>
        <v/>
      </c>
      <c r="B546" s="41">
        <f>Load_Profile_15min!G546</f>
        <v/>
      </c>
      <c r="C546" s="35">
        <f>Load_Profile_15min!H546</f>
        <v/>
      </c>
      <c r="D546" s="41">
        <f>Load_Profile_15min!H546*1000</f>
        <v/>
      </c>
    </row>
    <row r="547">
      <c r="A547" s="41">
        <f>Load_Profile_15min!F547</f>
        <v/>
      </c>
      <c r="B547" s="41">
        <f>Load_Profile_15min!G547</f>
        <v/>
      </c>
      <c r="C547" s="35">
        <f>Load_Profile_15min!H547</f>
        <v/>
      </c>
      <c r="D547" s="41">
        <f>Load_Profile_15min!H547*1000</f>
        <v/>
      </c>
    </row>
    <row r="548">
      <c r="A548" s="41">
        <f>Load_Profile_15min!F548</f>
        <v/>
      </c>
      <c r="B548" s="41">
        <f>Load_Profile_15min!G548</f>
        <v/>
      </c>
      <c r="C548" s="35">
        <f>Load_Profile_15min!H548</f>
        <v/>
      </c>
      <c r="D548" s="41">
        <f>Load_Profile_15min!H548*1000</f>
        <v/>
      </c>
    </row>
    <row r="549">
      <c r="A549" s="41">
        <f>Load_Profile_15min!F549</f>
        <v/>
      </c>
      <c r="B549" s="41">
        <f>Load_Profile_15min!G549</f>
        <v/>
      </c>
      <c r="C549" s="35">
        <f>Load_Profile_15min!H549</f>
        <v/>
      </c>
      <c r="D549" s="41">
        <f>Load_Profile_15min!H549*1000</f>
        <v/>
      </c>
    </row>
    <row r="550">
      <c r="A550" s="41">
        <f>Load_Profile_15min!F550</f>
        <v/>
      </c>
      <c r="B550" s="41">
        <f>Load_Profile_15min!G550</f>
        <v/>
      </c>
      <c r="C550" s="35">
        <f>Load_Profile_15min!H550</f>
        <v/>
      </c>
      <c r="D550" s="41">
        <f>Load_Profile_15min!H550*1000</f>
        <v/>
      </c>
    </row>
    <row r="551">
      <c r="A551" s="41">
        <f>Load_Profile_15min!F551</f>
        <v/>
      </c>
      <c r="B551" s="41">
        <f>Load_Profile_15min!G551</f>
        <v/>
      </c>
      <c r="C551" s="35">
        <f>Load_Profile_15min!H551</f>
        <v/>
      </c>
      <c r="D551" s="41">
        <f>Load_Profile_15min!H551*1000</f>
        <v/>
      </c>
    </row>
    <row r="552">
      <c r="A552" s="41">
        <f>Load_Profile_15min!F552</f>
        <v/>
      </c>
      <c r="B552" s="41">
        <f>Load_Profile_15min!G552</f>
        <v/>
      </c>
      <c r="C552" s="35">
        <f>Load_Profile_15min!H552</f>
        <v/>
      </c>
      <c r="D552" s="41">
        <f>Load_Profile_15min!H552*1000</f>
        <v/>
      </c>
    </row>
    <row r="553">
      <c r="A553" s="41">
        <f>Load_Profile_15min!F553</f>
        <v/>
      </c>
      <c r="B553" s="41">
        <f>Load_Profile_15min!G553</f>
        <v/>
      </c>
      <c r="C553" s="35">
        <f>Load_Profile_15min!H553</f>
        <v/>
      </c>
      <c r="D553" s="41">
        <f>Load_Profile_15min!H553*1000</f>
        <v/>
      </c>
    </row>
    <row r="554">
      <c r="A554" s="41">
        <f>Load_Profile_15min!F554</f>
        <v/>
      </c>
      <c r="B554" s="41">
        <f>Load_Profile_15min!G554</f>
        <v/>
      </c>
      <c r="C554" s="35">
        <f>Load_Profile_15min!H554</f>
        <v/>
      </c>
      <c r="D554" s="41">
        <f>Load_Profile_15min!H554*1000</f>
        <v/>
      </c>
    </row>
    <row r="555">
      <c r="A555" s="41">
        <f>Load_Profile_15min!F555</f>
        <v/>
      </c>
      <c r="B555" s="41">
        <f>Load_Profile_15min!G555</f>
        <v/>
      </c>
      <c r="C555" s="35">
        <f>Load_Profile_15min!H555</f>
        <v/>
      </c>
      <c r="D555" s="41">
        <f>Load_Profile_15min!H555*1000</f>
        <v/>
      </c>
    </row>
    <row r="556">
      <c r="A556" s="41">
        <f>Load_Profile_15min!F556</f>
        <v/>
      </c>
      <c r="B556" s="41">
        <f>Load_Profile_15min!G556</f>
        <v/>
      </c>
      <c r="C556" s="35">
        <f>Load_Profile_15min!H556</f>
        <v/>
      </c>
      <c r="D556" s="41">
        <f>Load_Profile_15min!H556*1000</f>
        <v/>
      </c>
    </row>
    <row r="557">
      <c r="A557" s="41">
        <f>Load_Profile_15min!F557</f>
        <v/>
      </c>
      <c r="B557" s="41">
        <f>Load_Profile_15min!G557</f>
        <v/>
      </c>
      <c r="C557" s="35">
        <f>Load_Profile_15min!H557</f>
        <v/>
      </c>
      <c r="D557" s="41">
        <f>Load_Profile_15min!H557*1000</f>
        <v/>
      </c>
    </row>
    <row r="558">
      <c r="A558" s="41">
        <f>Load_Profile_15min!F558</f>
        <v/>
      </c>
      <c r="B558" s="41">
        <f>Load_Profile_15min!G558</f>
        <v/>
      </c>
      <c r="C558" s="35">
        <f>Load_Profile_15min!H558</f>
        <v/>
      </c>
      <c r="D558" s="41">
        <f>Load_Profile_15min!H558*1000</f>
        <v/>
      </c>
    </row>
    <row r="559">
      <c r="A559" s="41">
        <f>Load_Profile_15min!F559</f>
        <v/>
      </c>
      <c r="B559" s="41">
        <f>Load_Profile_15min!G559</f>
        <v/>
      </c>
      <c r="C559" s="35">
        <f>Load_Profile_15min!H559</f>
        <v/>
      </c>
      <c r="D559" s="41">
        <f>Load_Profile_15min!H559*1000</f>
        <v/>
      </c>
    </row>
    <row r="560">
      <c r="A560" s="41">
        <f>Load_Profile_15min!F560</f>
        <v/>
      </c>
      <c r="B560" s="41">
        <f>Load_Profile_15min!G560</f>
        <v/>
      </c>
      <c r="C560" s="35">
        <f>Load_Profile_15min!H560</f>
        <v/>
      </c>
      <c r="D560" s="41">
        <f>Load_Profile_15min!H560*1000</f>
        <v/>
      </c>
    </row>
    <row r="561">
      <c r="A561" s="41">
        <f>Load_Profile_15min!F561</f>
        <v/>
      </c>
      <c r="B561" s="41">
        <f>Load_Profile_15min!G561</f>
        <v/>
      </c>
      <c r="C561" s="35">
        <f>Load_Profile_15min!H561</f>
        <v/>
      </c>
      <c r="D561" s="41">
        <f>Load_Profile_15min!H561*1000</f>
        <v/>
      </c>
    </row>
    <row r="562">
      <c r="A562" s="41">
        <f>Load_Profile_15min!F562</f>
        <v/>
      </c>
      <c r="B562" s="41">
        <f>Load_Profile_15min!G562</f>
        <v/>
      </c>
      <c r="C562" s="35">
        <f>Load_Profile_15min!H562</f>
        <v/>
      </c>
      <c r="D562" s="41">
        <f>Load_Profile_15min!H562*1000</f>
        <v/>
      </c>
    </row>
    <row r="563">
      <c r="A563" s="41">
        <f>Load_Profile_15min!F563</f>
        <v/>
      </c>
      <c r="B563" s="41">
        <f>Load_Profile_15min!G563</f>
        <v/>
      </c>
      <c r="C563" s="35">
        <f>Load_Profile_15min!H563</f>
        <v/>
      </c>
      <c r="D563" s="41">
        <f>Load_Profile_15min!H563*1000</f>
        <v/>
      </c>
    </row>
    <row r="564">
      <c r="A564" s="41">
        <f>Load_Profile_15min!F564</f>
        <v/>
      </c>
      <c r="B564" s="41">
        <f>Load_Profile_15min!G564</f>
        <v/>
      </c>
      <c r="C564" s="35">
        <f>Load_Profile_15min!H564</f>
        <v/>
      </c>
      <c r="D564" s="41">
        <f>Load_Profile_15min!H564*1000</f>
        <v/>
      </c>
    </row>
    <row r="565">
      <c r="A565" s="41">
        <f>Load_Profile_15min!F565</f>
        <v/>
      </c>
      <c r="B565" s="41">
        <f>Load_Profile_15min!G565</f>
        <v/>
      </c>
      <c r="C565" s="35">
        <f>Load_Profile_15min!H565</f>
        <v/>
      </c>
      <c r="D565" s="41">
        <f>Load_Profile_15min!H565*1000</f>
        <v/>
      </c>
    </row>
    <row r="566">
      <c r="A566" s="41">
        <f>Load_Profile_15min!F566</f>
        <v/>
      </c>
      <c r="B566" s="41">
        <f>Load_Profile_15min!G566</f>
        <v/>
      </c>
      <c r="C566" s="35">
        <f>Load_Profile_15min!H566</f>
        <v/>
      </c>
      <c r="D566" s="41">
        <f>Load_Profile_15min!H566*1000</f>
        <v/>
      </c>
    </row>
    <row r="567">
      <c r="A567" s="41">
        <f>Load_Profile_15min!F567</f>
        <v/>
      </c>
      <c r="B567" s="41">
        <f>Load_Profile_15min!G567</f>
        <v/>
      </c>
      <c r="C567" s="35">
        <f>Load_Profile_15min!H567</f>
        <v/>
      </c>
      <c r="D567" s="41">
        <f>Load_Profile_15min!H567*1000</f>
        <v/>
      </c>
    </row>
    <row r="568">
      <c r="A568" s="41">
        <f>Load_Profile_15min!F568</f>
        <v/>
      </c>
      <c r="B568" s="41">
        <f>Load_Profile_15min!G568</f>
        <v/>
      </c>
      <c r="C568" s="35">
        <f>Load_Profile_15min!H568</f>
        <v/>
      </c>
      <c r="D568" s="41">
        <f>Load_Profile_15min!H568*1000</f>
        <v/>
      </c>
    </row>
    <row r="569">
      <c r="A569" s="41">
        <f>Load_Profile_15min!F569</f>
        <v/>
      </c>
      <c r="B569" s="41">
        <f>Load_Profile_15min!G569</f>
        <v/>
      </c>
      <c r="C569" s="35">
        <f>Load_Profile_15min!H569</f>
        <v/>
      </c>
      <c r="D569" s="41">
        <f>Load_Profile_15min!H569*1000</f>
        <v/>
      </c>
    </row>
    <row r="570">
      <c r="A570" s="41">
        <f>Load_Profile_15min!F570</f>
        <v/>
      </c>
      <c r="B570" s="41">
        <f>Load_Profile_15min!G570</f>
        <v/>
      </c>
      <c r="C570" s="35">
        <f>Load_Profile_15min!H570</f>
        <v/>
      </c>
      <c r="D570" s="41">
        <f>Load_Profile_15min!H570*1000</f>
        <v/>
      </c>
    </row>
    <row r="571">
      <c r="A571" s="41">
        <f>Load_Profile_15min!F571</f>
        <v/>
      </c>
      <c r="B571" s="41">
        <f>Load_Profile_15min!G571</f>
        <v/>
      </c>
      <c r="C571" s="35">
        <f>Load_Profile_15min!H571</f>
        <v/>
      </c>
      <c r="D571" s="41">
        <f>Load_Profile_15min!H571*1000</f>
        <v/>
      </c>
    </row>
    <row r="572">
      <c r="A572" s="41">
        <f>Load_Profile_15min!F572</f>
        <v/>
      </c>
      <c r="B572" s="41">
        <f>Load_Profile_15min!G572</f>
        <v/>
      </c>
      <c r="C572" s="35">
        <f>Load_Profile_15min!H572</f>
        <v/>
      </c>
      <c r="D572" s="41">
        <f>Load_Profile_15min!H572*1000</f>
        <v/>
      </c>
    </row>
    <row r="573">
      <c r="A573" s="41">
        <f>Load_Profile_15min!F573</f>
        <v/>
      </c>
      <c r="B573" s="41">
        <f>Load_Profile_15min!G573</f>
        <v/>
      </c>
      <c r="C573" s="35">
        <f>Load_Profile_15min!H573</f>
        <v/>
      </c>
      <c r="D573" s="41">
        <f>Load_Profile_15min!H573*1000</f>
        <v/>
      </c>
    </row>
    <row r="574">
      <c r="A574" s="41">
        <f>Load_Profile_15min!F574</f>
        <v/>
      </c>
      <c r="B574" s="41">
        <f>Load_Profile_15min!G574</f>
        <v/>
      </c>
      <c r="C574" s="35">
        <f>Load_Profile_15min!H574</f>
        <v/>
      </c>
      <c r="D574" s="41">
        <f>Load_Profile_15min!H574*1000</f>
        <v/>
      </c>
    </row>
    <row r="575">
      <c r="A575" s="41">
        <f>Load_Profile_15min!F575</f>
        <v/>
      </c>
      <c r="B575" s="41">
        <f>Load_Profile_15min!G575</f>
        <v/>
      </c>
      <c r="C575" s="35">
        <f>Load_Profile_15min!H575</f>
        <v/>
      </c>
      <c r="D575" s="41">
        <f>Load_Profile_15min!H575*1000</f>
        <v/>
      </c>
    </row>
    <row r="576">
      <c r="A576" s="41">
        <f>Load_Profile_15min!F576</f>
        <v/>
      </c>
      <c r="B576" s="41">
        <f>Load_Profile_15min!G576</f>
        <v/>
      </c>
      <c r="C576" s="35">
        <f>Load_Profile_15min!H576</f>
        <v/>
      </c>
      <c r="D576" s="41">
        <f>Load_Profile_15min!H576*1000</f>
        <v/>
      </c>
    </row>
    <row r="577">
      <c r="A577" s="41">
        <f>Load_Profile_15min!F577</f>
        <v/>
      </c>
      <c r="B577" s="41">
        <f>Load_Profile_15min!G577</f>
        <v/>
      </c>
      <c r="C577" s="35">
        <f>Load_Profile_15min!H577</f>
        <v/>
      </c>
      <c r="D577" s="41">
        <f>Load_Profile_15min!H577*1000</f>
        <v/>
      </c>
    </row>
    <row r="578">
      <c r="A578" s="41">
        <f>Load_Profile_15min!F578</f>
        <v/>
      </c>
      <c r="B578" s="41">
        <f>Load_Profile_15min!G578</f>
        <v/>
      </c>
      <c r="C578" s="35">
        <f>Load_Profile_15min!H578</f>
        <v/>
      </c>
      <c r="D578" s="41">
        <f>Load_Profile_15min!H578*1000</f>
        <v/>
      </c>
    </row>
    <row r="579">
      <c r="A579" s="41">
        <f>Load_Profile_15min!F579</f>
        <v/>
      </c>
      <c r="B579" s="41">
        <f>Load_Profile_15min!G579</f>
        <v/>
      </c>
      <c r="C579" s="35">
        <f>Load_Profile_15min!H579</f>
        <v/>
      </c>
      <c r="D579" s="41">
        <f>Load_Profile_15min!H579*1000</f>
        <v/>
      </c>
    </row>
    <row r="580">
      <c r="A580" s="41">
        <f>Load_Profile_15min!F580</f>
        <v/>
      </c>
      <c r="B580" s="41">
        <f>Load_Profile_15min!G580</f>
        <v/>
      </c>
      <c r="C580" s="35">
        <f>Load_Profile_15min!H580</f>
        <v/>
      </c>
      <c r="D580" s="41">
        <f>Load_Profile_15min!H580*1000</f>
        <v/>
      </c>
    </row>
    <row r="581">
      <c r="A581" s="41">
        <f>Load_Profile_15min!F581</f>
        <v/>
      </c>
      <c r="B581" s="41">
        <f>Load_Profile_15min!G581</f>
        <v/>
      </c>
      <c r="C581" s="35">
        <f>Load_Profile_15min!H581</f>
        <v/>
      </c>
      <c r="D581" s="41">
        <f>Load_Profile_15min!H581*1000</f>
        <v/>
      </c>
    </row>
    <row r="582">
      <c r="A582" s="41">
        <f>Load_Profile_15min!F582</f>
        <v/>
      </c>
      <c r="B582" s="41">
        <f>Load_Profile_15min!G582</f>
        <v/>
      </c>
      <c r="C582" s="35">
        <f>Load_Profile_15min!H582</f>
        <v/>
      </c>
      <c r="D582" s="41">
        <f>Load_Profile_15min!H582*1000</f>
        <v/>
      </c>
    </row>
    <row r="583">
      <c r="A583" s="41">
        <f>Load_Profile_15min!F583</f>
        <v/>
      </c>
      <c r="B583" s="41">
        <f>Load_Profile_15min!G583</f>
        <v/>
      </c>
      <c r="C583" s="35">
        <f>Load_Profile_15min!H583</f>
        <v/>
      </c>
      <c r="D583" s="41">
        <f>Load_Profile_15min!H583*1000</f>
        <v/>
      </c>
    </row>
    <row r="584">
      <c r="A584" s="41">
        <f>Load_Profile_15min!F584</f>
        <v/>
      </c>
      <c r="B584" s="41">
        <f>Load_Profile_15min!G584</f>
        <v/>
      </c>
      <c r="C584" s="35">
        <f>Load_Profile_15min!H584</f>
        <v/>
      </c>
      <c r="D584" s="41">
        <f>Load_Profile_15min!H584*1000</f>
        <v/>
      </c>
    </row>
    <row r="585">
      <c r="A585" s="41">
        <f>Load_Profile_15min!F585</f>
        <v/>
      </c>
      <c r="B585" s="41">
        <f>Load_Profile_15min!G585</f>
        <v/>
      </c>
      <c r="C585" s="35">
        <f>Load_Profile_15min!H585</f>
        <v/>
      </c>
      <c r="D585" s="41">
        <f>Load_Profile_15min!H585*1000</f>
        <v/>
      </c>
    </row>
    <row r="586">
      <c r="A586" s="41">
        <f>Load_Profile_15min!F586</f>
        <v/>
      </c>
      <c r="B586" s="41">
        <f>Load_Profile_15min!G586</f>
        <v/>
      </c>
      <c r="C586" s="35">
        <f>Load_Profile_15min!H586</f>
        <v/>
      </c>
      <c r="D586" s="41">
        <f>Load_Profile_15min!H586*1000</f>
        <v/>
      </c>
    </row>
    <row r="587">
      <c r="A587" s="41">
        <f>Load_Profile_15min!F587</f>
        <v/>
      </c>
      <c r="B587" s="41">
        <f>Load_Profile_15min!G587</f>
        <v/>
      </c>
      <c r="C587" s="35">
        <f>Load_Profile_15min!H587</f>
        <v/>
      </c>
      <c r="D587" s="41">
        <f>Load_Profile_15min!H587*1000</f>
        <v/>
      </c>
    </row>
    <row r="588">
      <c r="A588" s="41">
        <f>Load_Profile_15min!F588</f>
        <v/>
      </c>
      <c r="B588" s="41">
        <f>Load_Profile_15min!G588</f>
        <v/>
      </c>
      <c r="C588" s="35">
        <f>Load_Profile_15min!H588</f>
        <v/>
      </c>
      <c r="D588" s="41">
        <f>Load_Profile_15min!H588*1000</f>
        <v/>
      </c>
    </row>
    <row r="589">
      <c r="A589" s="41">
        <f>Load_Profile_15min!F589</f>
        <v/>
      </c>
      <c r="B589" s="41">
        <f>Load_Profile_15min!G589</f>
        <v/>
      </c>
      <c r="C589" s="35">
        <f>Load_Profile_15min!H589</f>
        <v/>
      </c>
      <c r="D589" s="41">
        <f>Load_Profile_15min!H589*1000</f>
        <v/>
      </c>
    </row>
    <row r="590">
      <c r="A590" s="41">
        <f>Load_Profile_15min!F590</f>
        <v/>
      </c>
      <c r="B590" s="41">
        <f>Load_Profile_15min!G590</f>
        <v/>
      </c>
      <c r="C590" s="35">
        <f>Load_Profile_15min!H590</f>
        <v/>
      </c>
      <c r="D590" s="41">
        <f>Load_Profile_15min!H590*1000</f>
        <v/>
      </c>
    </row>
    <row r="591">
      <c r="A591" s="41">
        <f>Load_Profile_15min!F591</f>
        <v/>
      </c>
      <c r="B591" s="41">
        <f>Load_Profile_15min!G591</f>
        <v/>
      </c>
      <c r="C591" s="35">
        <f>Load_Profile_15min!H591</f>
        <v/>
      </c>
      <c r="D591" s="41">
        <f>Load_Profile_15min!H591*1000</f>
        <v/>
      </c>
    </row>
    <row r="592">
      <c r="A592" s="41">
        <f>Load_Profile_15min!F592</f>
        <v/>
      </c>
      <c r="B592" s="41">
        <f>Load_Profile_15min!G592</f>
        <v/>
      </c>
      <c r="C592" s="35">
        <f>Load_Profile_15min!H592</f>
        <v/>
      </c>
      <c r="D592" s="41">
        <f>Load_Profile_15min!H592*1000</f>
        <v/>
      </c>
    </row>
    <row r="593">
      <c r="A593" s="41">
        <f>Load_Profile_15min!F593</f>
        <v/>
      </c>
      <c r="B593" s="41">
        <f>Load_Profile_15min!G593</f>
        <v/>
      </c>
      <c r="C593" s="35">
        <f>Load_Profile_15min!H593</f>
        <v/>
      </c>
      <c r="D593" s="41">
        <f>Load_Profile_15min!H593*1000</f>
        <v/>
      </c>
    </row>
    <row r="594">
      <c r="A594" s="41">
        <f>Load_Profile_15min!F594</f>
        <v/>
      </c>
      <c r="B594" s="41">
        <f>Load_Profile_15min!G594</f>
        <v/>
      </c>
      <c r="C594" s="35">
        <f>Load_Profile_15min!H594</f>
        <v/>
      </c>
      <c r="D594" s="41">
        <f>Load_Profile_15min!H594*1000</f>
        <v/>
      </c>
    </row>
    <row r="595">
      <c r="A595" s="41">
        <f>Load_Profile_15min!F595</f>
        <v/>
      </c>
      <c r="B595" s="41">
        <f>Load_Profile_15min!G595</f>
        <v/>
      </c>
      <c r="C595" s="35">
        <f>Load_Profile_15min!H595</f>
        <v/>
      </c>
      <c r="D595" s="41">
        <f>Load_Profile_15min!H595*1000</f>
        <v/>
      </c>
    </row>
    <row r="596">
      <c r="A596" s="41">
        <f>Load_Profile_15min!F596</f>
        <v/>
      </c>
      <c r="B596" s="41">
        <f>Load_Profile_15min!G596</f>
        <v/>
      </c>
      <c r="C596" s="35">
        <f>Load_Profile_15min!H596</f>
        <v/>
      </c>
      <c r="D596" s="41">
        <f>Load_Profile_15min!H596*1000</f>
        <v/>
      </c>
    </row>
    <row r="597">
      <c r="A597" s="41">
        <f>Load_Profile_15min!F597</f>
        <v/>
      </c>
      <c r="B597" s="41">
        <f>Load_Profile_15min!G597</f>
        <v/>
      </c>
      <c r="C597" s="35">
        <f>Load_Profile_15min!H597</f>
        <v/>
      </c>
      <c r="D597" s="41">
        <f>Load_Profile_15min!H597*1000</f>
        <v/>
      </c>
    </row>
    <row r="598">
      <c r="A598" s="41">
        <f>Load_Profile_15min!F598</f>
        <v/>
      </c>
      <c r="B598" s="41">
        <f>Load_Profile_15min!G598</f>
        <v/>
      </c>
      <c r="C598" s="35">
        <f>Load_Profile_15min!H598</f>
        <v/>
      </c>
      <c r="D598" s="41">
        <f>Load_Profile_15min!H598*1000</f>
        <v/>
      </c>
    </row>
    <row r="599">
      <c r="A599" s="41">
        <f>Load_Profile_15min!F599</f>
        <v/>
      </c>
      <c r="B599" s="41">
        <f>Load_Profile_15min!G599</f>
        <v/>
      </c>
      <c r="C599" s="35">
        <f>Load_Profile_15min!H599</f>
        <v/>
      </c>
      <c r="D599" s="41">
        <f>Load_Profile_15min!H599*1000</f>
        <v/>
      </c>
    </row>
    <row r="600">
      <c r="A600" s="41">
        <f>Load_Profile_15min!F600</f>
        <v/>
      </c>
      <c r="B600" s="41">
        <f>Load_Profile_15min!G600</f>
        <v/>
      </c>
      <c r="C600" s="35">
        <f>Load_Profile_15min!H600</f>
        <v/>
      </c>
      <c r="D600" s="41">
        <f>Load_Profile_15min!H600*1000</f>
        <v/>
      </c>
    </row>
    <row r="601">
      <c r="A601" s="41">
        <f>Load_Profile_15min!F601</f>
        <v/>
      </c>
      <c r="B601" s="41">
        <f>Load_Profile_15min!G601</f>
        <v/>
      </c>
      <c r="C601" s="35">
        <f>Load_Profile_15min!H601</f>
        <v/>
      </c>
      <c r="D601" s="41">
        <f>Load_Profile_15min!H601*1000</f>
        <v/>
      </c>
    </row>
    <row r="602">
      <c r="A602" s="41">
        <f>Load_Profile_15min!F602</f>
        <v/>
      </c>
      <c r="B602" s="41">
        <f>Load_Profile_15min!G602</f>
        <v/>
      </c>
      <c r="C602" s="35">
        <f>Load_Profile_15min!H602</f>
        <v/>
      </c>
      <c r="D602" s="41">
        <f>Load_Profile_15min!H602*1000</f>
        <v/>
      </c>
    </row>
    <row r="603">
      <c r="A603" s="41">
        <f>Load_Profile_15min!F603</f>
        <v/>
      </c>
      <c r="B603" s="41">
        <f>Load_Profile_15min!G603</f>
        <v/>
      </c>
      <c r="C603" s="35">
        <f>Load_Profile_15min!H603</f>
        <v/>
      </c>
      <c r="D603" s="41">
        <f>Load_Profile_15min!H603*1000</f>
        <v/>
      </c>
    </row>
    <row r="604">
      <c r="A604" s="41">
        <f>Load_Profile_15min!F604</f>
        <v/>
      </c>
      <c r="B604" s="41">
        <f>Load_Profile_15min!G604</f>
        <v/>
      </c>
      <c r="C604" s="35">
        <f>Load_Profile_15min!H604</f>
        <v/>
      </c>
      <c r="D604" s="41">
        <f>Load_Profile_15min!H604*1000</f>
        <v/>
      </c>
    </row>
    <row r="605">
      <c r="A605" s="41">
        <f>Load_Profile_15min!F605</f>
        <v/>
      </c>
      <c r="B605" s="41">
        <f>Load_Profile_15min!G605</f>
        <v/>
      </c>
      <c r="C605" s="35">
        <f>Load_Profile_15min!H605</f>
        <v/>
      </c>
      <c r="D605" s="41">
        <f>Load_Profile_15min!H605*1000</f>
        <v/>
      </c>
    </row>
    <row r="606">
      <c r="A606" s="41">
        <f>Load_Profile_15min!F606</f>
        <v/>
      </c>
      <c r="B606" s="41">
        <f>Load_Profile_15min!G606</f>
        <v/>
      </c>
      <c r="C606" s="35">
        <f>Load_Profile_15min!H606</f>
        <v/>
      </c>
      <c r="D606" s="41">
        <f>Load_Profile_15min!H606*1000</f>
        <v/>
      </c>
    </row>
    <row r="607">
      <c r="A607" s="41">
        <f>Load_Profile_15min!F607</f>
        <v/>
      </c>
      <c r="B607" s="41">
        <f>Load_Profile_15min!G607</f>
        <v/>
      </c>
      <c r="C607" s="35">
        <f>Load_Profile_15min!H607</f>
        <v/>
      </c>
      <c r="D607" s="41">
        <f>Load_Profile_15min!H607*1000</f>
        <v/>
      </c>
    </row>
    <row r="608">
      <c r="A608" s="41">
        <f>Load_Profile_15min!F608</f>
        <v/>
      </c>
      <c r="B608" s="41">
        <f>Load_Profile_15min!G608</f>
        <v/>
      </c>
      <c r="C608" s="35">
        <f>Load_Profile_15min!H608</f>
        <v/>
      </c>
      <c r="D608" s="41">
        <f>Load_Profile_15min!H608*1000</f>
        <v/>
      </c>
    </row>
    <row r="609">
      <c r="A609" s="41">
        <f>Load_Profile_15min!F609</f>
        <v/>
      </c>
      <c r="B609" s="41">
        <f>Load_Profile_15min!G609</f>
        <v/>
      </c>
      <c r="C609" s="35">
        <f>Load_Profile_15min!H609</f>
        <v/>
      </c>
      <c r="D609" s="41">
        <f>Load_Profile_15min!H609*1000</f>
        <v/>
      </c>
    </row>
    <row r="610">
      <c r="A610" s="41">
        <f>Load_Profile_15min!F610</f>
        <v/>
      </c>
      <c r="B610" s="41">
        <f>Load_Profile_15min!G610</f>
        <v/>
      </c>
      <c r="C610" s="35">
        <f>Load_Profile_15min!H610</f>
        <v/>
      </c>
      <c r="D610" s="41">
        <f>Load_Profile_15min!H610*1000</f>
        <v/>
      </c>
    </row>
    <row r="611">
      <c r="A611" s="41">
        <f>Load_Profile_15min!F611</f>
        <v/>
      </c>
      <c r="B611" s="41">
        <f>Load_Profile_15min!G611</f>
        <v/>
      </c>
      <c r="C611" s="35">
        <f>Load_Profile_15min!H611</f>
        <v/>
      </c>
      <c r="D611" s="41">
        <f>Load_Profile_15min!H611*1000</f>
        <v/>
      </c>
    </row>
    <row r="612">
      <c r="A612" s="41">
        <f>Load_Profile_15min!F612</f>
        <v/>
      </c>
      <c r="B612" s="41">
        <f>Load_Profile_15min!G612</f>
        <v/>
      </c>
      <c r="C612" s="35">
        <f>Load_Profile_15min!H612</f>
        <v/>
      </c>
      <c r="D612" s="41">
        <f>Load_Profile_15min!H612*1000</f>
        <v/>
      </c>
    </row>
    <row r="613">
      <c r="A613" s="41">
        <f>Load_Profile_15min!F613</f>
        <v/>
      </c>
      <c r="B613" s="41">
        <f>Load_Profile_15min!G613</f>
        <v/>
      </c>
      <c r="C613" s="35">
        <f>Load_Profile_15min!H613</f>
        <v/>
      </c>
      <c r="D613" s="41">
        <f>Load_Profile_15min!H613*1000</f>
        <v/>
      </c>
    </row>
    <row r="614">
      <c r="A614" s="41">
        <f>Load_Profile_15min!F614</f>
        <v/>
      </c>
      <c r="B614" s="41">
        <f>Load_Profile_15min!G614</f>
        <v/>
      </c>
      <c r="C614" s="35">
        <f>Load_Profile_15min!H614</f>
        <v/>
      </c>
      <c r="D614" s="41">
        <f>Load_Profile_15min!H614*1000</f>
        <v/>
      </c>
    </row>
    <row r="615">
      <c r="A615" s="41">
        <f>Load_Profile_15min!F615</f>
        <v/>
      </c>
      <c r="B615" s="41">
        <f>Load_Profile_15min!G615</f>
        <v/>
      </c>
      <c r="C615" s="35">
        <f>Load_Profile_15min!H615</f>
        <v/>
      </c>
      <c r="D615" s="41">
        <f>Load_Profile_15min!H615*1000</f>
        <v/>
      </c>
    </row>
    <row r="616">
      <c r="A616" s="41">
        <f>Load_Profile_15min!F616</f>
        <v/>
      </c>
      <c r="B616" s="41">
        <f>Load_Profile_15min!G616</f>
        <v/>
      </c>
      <c r="C616" s="35">
        <f>Load_Profile_15min!H616</f>
        <v/>
      </c>
      <c r="D616" s="41">
        <f>Load_Profile_15min!H616*1000</f>
        <v/>
      </c>
    </row>
    <row r="617">
      <c r="A617" s="41">
        <f>Load_Profile_15min!F617</f>
        <v/>
      </c>
      <c r="B617" s="41">
        <f>Load_Profile_15min!G617</f>
        <v/>
      </c>
      <c r="C617" s="35">
        <f>Load_Profile_15min!H617</f>
        <v/>
      </c>
      <c r="D617" s="41">
        <f>Load_Profile_15min!H617*1000</f>
        <v/>
      </c>
    </row>
    <row r="618">
      <c r="A618" s="41">
        <f>Load_Profile_15min!F618</f>
        <v/>
      </c>
      <c r="B618" s="41">
        <f>Load_Profile_15min!G618</f>
        <v/>
      </c>
      <c r="C618" s="35">
        <f>Load_Profile_15min!H618</f>
        <v/>
      </c>
      <c r="D618" s="41">
        <f>Load_Profile_15min!H618*1000</f>
        <v/>
      </c>
    </row>
    <row r="619">
      <c r="A619" s="41">
        <f>Load_Profile_15min!F619</f>
        <v/>
      </c>
      <c r="B619" s="41">
        <f>Load_Profile_15min!G619</f>
        <v/>
      </c>
      <c r="C619" s="35">
        <f>Load_Profile_15min!H619</f>
        <v/>
      </c>
      <c r="D619" s="41">
        <f>Load_Profile_15min!H619*1000</f>
        <v/>
      </c>
    </row>
    <row r="620">
      <c r="A620" s="41">
        <f>Load_Profile_15min!F620</f>
        <v/>
      </c>
      <c r="B620" s="41">
        <f>Load_Profile_15min!G620</f>
        <v/>
      </c>
      <c r="C620" s="35">
        <f>Load_Profile_15min!H620</f>
        <v/>
      </c>
      <c r="D620" s="41">
        <f>Load_Profile_15min!H620*1000</f>
        <v/>
      </c>
    </row>
    <row r="621">
      <c r="A621" s="41">
        <f>Load_Profile_15min!F621</f>
        <v/>
      </c>
      <c r="B621" s="41">
        <f>Load_Profile_15min!G621</f>
        <v/>
      </c>
      <c r="C621" s="35">
        <f>Load_Profile_15min!H621</f>
        <v/>
      </c>
      <c r="D621" s="41">
        <f>Load_Profile_15min!H621*1000</f>
        <v/>
      </c>
    </row>
    <row r="622">
      <c r="A622" s="41">
        <f>Load_Profile_15min!F622</f>
        <v/>
      </c>
      <c r="B622" s="41">
        <f>Load_Profile_15min!G622</f>
        <v/>
      </c>
      <c r="C622" s="35">
        <f>Load_Profile_15min!H622</f>
        <v/>
      </c>
      <c r="D622" s="41">
        <f>Load_Profile_15min!H622*1000</f>
        <v/>
      </c>
    </row>
    <row r="623">
      <c r="A623" s="41">
        <f>Load_Profile_15min!F623</f>
        <v/>
      </c>
      <c r="B623" s="41">
        <f>Load_Profile_15min!G623</f>
        <v/>
      </c>
      <c r="C623" s="35">
        <f>Load_Profile_15min!H623</f>
        <v/>
      </c>
      <c r="D623" s="41">
        <f>Load_Profile_15min!H623*1000</f>
        <v/>
      </c>
    </row>
    <row r="624">
      <c r="A624" s="41">
        <f>Load_Profile_15min!F624</f>
        <v/>
      </c>
      <c r="B624" s="41">
        <f>Load_Profile_15min!G624</f>
        <v/>
      </c>
      <c r="C624" s="35">
        <f>Load_Profile_15min!H624</f>
        <v/>
      </c>
      <c r="D624" s="41">
        <f>Load_Profile_15min!H624*1000</f>
        <v/>
      </c>
    </row>
    <row r="625">
      <c r="A625" s="41">
        <f>Load_Profile_15min!F625</f>
        <v/>
      </c>
      <c r="B625" s="41">
        <f>Load_Profile_15min!G625</f>
        <v/>
      </c>
      <c r="C625" s="35">
        <f>Load_Profile_15min!H625</f>
        <v/>
      </c>
      <c r="D625" s="41">
        <f>Load_Profile_15min!H625*1000</f>
        <v/>
      </c>
    </row>
    <row r="626">
      <c r="A626" s="41">
        <f>Load_Profile_15min!F626</f>
        <v/>
      </c>
      <c r="B626" s="41">
        <f>Load_Profile_15min!G626</f>
        <v/>
      </c>
      <c r="C626" s="35">
        <f>Load_Profile_15min!H626</f>
        <v/>
      </c>
      <c r="D626" s="41">
        <f>Load_Profile_15min!H626*1000</f>
        <v/>
      </c>
    </row>
    <row r="627">
      <c r="A627" s="41">
        <f>Load_Profile_15min!F627</f>
        <v/>
      </c>
      <c r="B627" s="41">
        <f>Load_Profile_15min!G627</f>
        <v/>
      </c>
      <c r="C627" s="35">
        <f>Load_Profile_15min!H627</f>
        <v/>
      </c>
      <c r="D627" s="41">
        <f>Load_Profile_15min!H627*1000</f>
        <v/>
      </c>
    </row>
    <row r="628">
      <c r="A628" s="41">
        <f>Load_Profile_15min!F628</f>
        <v/>
      </c>
      <c r="B628" s="41">
        <f>Load_Profile_15min!G628</f>
        <v/>
      </c>
      <c r="C628" s="35">
        <f>Load_Profile_15min!H628</f>
        <v/>
      </c>
      <c r="D628" s="41">
        <f>Load_Profile_15min!H628*1000</f>
        <v/>
      </c>
    </row>
    <row r="629">
      <c r="A629" s="41">
        <f>Load_Profile_15min!F629</f>
        <v/>
      </c>
      <c r="B629" s="41">
        <f>Load_Profile_15min!G629</f>
        <v/>
      </c>
      <c r="C629" s="35">
        <f>Load_Profile_15min!H629</f>
        <v/>
      </c>
      <c r="D629" s="41">
        <f>Load_Profile_15min!H629*1000</f>
        <v/>
      </c>
    </row>
    <row r="630">
      <c r="A630" s="41">
        <f>Load_Profile_15min!F630</f>
        <v/>
      </c>
      <c r="B630" s="41">
        <f>Load_Profile_15min!G630</f>
        <v/>
      </c>
      <c r="C630" s="35">
        <f>Load_Profile_15min!H630</f>
        <v/>
      </c>
      <c r="D630" s="41">
        <f>Load_Profile_15min!H630*1000</f>
        <v/>
      </c>
    </row>
    <row r="631">
      <c r="A631" s="41">
        <f>Load_Profile_15min!F631</f>
        <v/>
      </c>
      <c r="B631" s="41">
        <f>Load_Profile_15min!G631</f>
        <v/>
      </c>
      <c r="C631" s="35">
        <f>Load_Profile_15min!H631</f>
        <v/>
      </c>
      <c r="D631" s="41">
        <f>Load_Profile_15min!H631*1000</f>
        <v/>
      </c>
    </row>
    <row r="632">
      <c r="A632" s="41">
        <f>Load_Profile_15min!F632</f>
        <v/>
      </c>
      <c r="B632" s="41">
        <f>Load_Profile_15min!G632</f>
        <v/>
      </c>
      <c r="C632" s="35">
        <f>Load_Profile_15min!H632</f>
        <v/>
      </c>
      <c r="D632" s="41">
        <f>Load_Profile_15min!H632*1000</f>
        <v/>
      </c>
    </row>
    <row r="633">
      <c r="A633" s="41">
        <f>Load_Profile_15min!F633</f>
        <v/>
      </c>
      <c r="B633" s="41">
        <f>Load_Profile_15min!G633</f>
        <v/>
      </c>
      <c r="C633" s="35">
        <f>Load_Profile_15min!H633</f>
        <v/>
      </c>
      <c r="D633" s="41">
        <f>Load_Profile_15min!H633*1000</f>
        <v/>
      </c>
    </row>
    <row r="634">
      <c r="A634" s="41">
        <f>Load_Profile_15min!F634</f>
        <v/>
      </c>
      <c r="B634" s="41">
        <f>Load_Profile_15min!G634</f>
        <v/>
      </c>
      <c r="C634" s="35">
        <f>Load_Profile_15min!H634</f>
        <v/>
      </c>
      <c r="D634" s="41">
        <f>Load_Profile_15min!H634*1000</f>
        <v/>
      </c>
    </row>
    <row r="635">
      <c r="A635" s="41">
        <f>Load_Profile_15min!F635</f>
        <v/>
      </c>
      <c r="B635" s="41">
        <f>Load_Profile_15min!G635</f>
        <v/>
      </c>
      <c r="C635" s="35">
        <f>Load_Profile_15min!H635</f>
        <v/>
      </c>
      <c r="D635" s="41">
        <f>Load_Profile_15min!H635*1000</f>
        <v/>
      </c>
    </row>
    <row r="636">
      <c r="A636" s="41">
        <f>Load_Profile_15min!F636</f>
        <v/>
      </c>
      <c r="B636" s="41">
        <f>Load_Profile_15min!G636</f>
        <v/>
      </c>
      <c r="C636" s="35">
        <f>Load_Profile_15min!H636</f>
        <v/>
      </c>
      <c r="D636" s="41">
        <f>Load_Profile_15min!H636*1000</f>
        <v/>
      </c>
    </row>
    <row r="637">
      <c r="A637" s="41">
        <f>Load_Profile_15min!F637</f>
        <v/>
      </c>
      <c r="B637" s="41">
        <f>Load_Profile_15min!G637</f>
        <v/>
      </c>
      <c r="C637" s="35">
        <f>Load_Profile_15min!H637</f>
        <v/>
      </c>
      <c r="D637" s="41">
        <f>Load_Profile_15min!H637*1000</f>
        <v/>
      </c>
    </row>
    <row r="638">
      <c r="A638" s="41">
        <f>Load_Profile_15min!F638</f>
        <v/>
      </c>
      <c r="B638" s="41">
        <f>Load_Profile_15min!G638</f>
        <v/>
      </c>
      <c r="C638" s="35">
        <f>Load_Profile_15min!H638</f>
        <v/>
      </c>
      <c r="D638" s="41">
        <f>Load_Profile_15min!H638*1000</f>
        <v/>
      </c>
    </row>
    <row r="639">
      <c r="A639" s="41">
        <f>Load_Profile_15min!F639</f>
        <v/>
      </c>
      <c r="B639" s="41">
        <f>Load_Profile_15min!G639</f>
        <v/>
      </c>
      <c r="C639" s="35">
        <f>Load_Profile_15min!H639</f>
        <v/>
      </c>
      <c r="D639" s="41">
        <f>Load_Profile_15min!H639*1000</f>
        <v/>
      </c>
    </row>
    <row r="640">
      <c r="A640" s="41">
        <f>Load_Profile_15min!F640</f>
        <v/>
      </c>
      <c r="B640" s="41">
        <f>Load_Profile_15min!G640</f>
        <v/>
      </c>
      <c r="C640" s="35">
        <f>Load_Profile_15min!H640</f>
        <v/>
      </c>
      <c r="D640" s="41">
        <f>Load_Profile_15min!H640*1000</f>
        <v/>
      </c>
    </row>
    <row r="641">
      <c r="A641" s="41">
        <f>Load_Profile_15min!F641</f>
        <v/>
      </c>
      <c r="B641" s="41">
        <f>Load_Profile_15min!G641</f>
        <v/>
      </c>
      <c r="C641" s="35">
        <f>Load_Profile_15min!H641</f>
        <v/>
      </c>
      <c r="D641" s="41">
        <f>Load_Profile_15min!H641*1000</f>
        <v/>
      </c>
    </row>
    <row r="642">
      <c r="A642" s="41">
        <f>Load_Profile_15min!F642</f>
        <v/>
      </c>
      <c r="B642" s="41">
        <f>Load_Profile_15min!G642</f>
        <v/>
      </c>
      <c r="C642" s="35">
        <f>Load_Profile_15min!H642</f>
        <v/>
      </c>
      <c r="D642" s="41">
        <f>Load_Profile_15min!H642*1000</f>
        <v/>
      </c>
    </row>
    <row r="643">
      <c r="A643" s="41">
        <f>Load_Profile_15min!F643</f>
        <v/>
      </c>
      <c r="B643" s="41">
        <f>Load_Profile_15min!G643</f>
        <v/>
      </c>
      <c r="C643" s="35">
        <f>Load_Profile_15min!H643</f>
        <v/>
      </c>
      <c r="D643" s="41">
        <f>Load_Profile_15min!H643*1000</f>
        <v/>
      </c>
    </row>
    <row r="644">
      <c r="A644" s="41">
        <f>Load_Profile_15min!F644</f>
        <v/>
      </c>
      <c r="B644" s="41">
        <f>Load_Profile_15min!G644</f>
        <v/>
      </c>
      <c r="C644" s="35">
        <f>Load_Profile_15min!H644</f>
        <v/>
      </c>
      <c r="D644" s="41">
        <f>Load_Profile_15min!H644*1000</f>
        <v/>
      </c>
    </row>
    <row r="645">
      <c r="A645" s="41">
        <f>Load_Profile_15min!F645</f>
        <v/>
      </c>
      <c r="B645" s="41">
        <f>Load_Profile_15min!G645</f>
        <v/>
      </c>
      <c r="C645" s="35">
        <f>Load_Profile_15min!H645</f>
        <v/>
      </c>
      <c r="D645" s="41">
        <f>Load_Profile_15min!H645*1000</f>
        <v/>
      </c>
    </row>
    <row r="646">
      <c r="A646" s="41">
        <f>Load_Profile_15min!F646</f>
        <v/>
      </c>
      <c r="B646" s="41">
        <f>Load_Profile_15min!G646</f>
        <v/>
      </c>
      <c r="C646" s="35">
        <f>Load_Profile_15min!H646</f>
        <v/>
      </c>
      <c r="D646" s="41">
        <f>Load_Profile_15min!H646*1000</f>
        <v/>
      </c>
    </row>
    <row r="647">
      <c r="A647" s="41">
        <f>Load_Profile_15min!F647</f>
        <v/>
      </c>
      <c r="B647" s="41">
        <f>Load_Profile_15min!G647</f>
        <v/>
      </c>
      <c r="C647" s="35">
        <f>Load_Profile_15min!H647</f>
        <v/>
      </c>
      <c r="D647" s="41">
        <f>Load_Profile_15min!H647*1000</f>
        <v/>
      </c>
    </row>
    <row r="648">
      <c r="A648" s="41">
        <f>Load_Profile_15min!F648</f>
        <v/>
      </c>
      <c r="B648" s="41">
        <f>Load_Profile_15min!G648</f>
        <v/>
      </c>
      <c r="C648" s="35">
        <f>Load_Profile_15min!H648</f>
        <v/>
      </c>
      <c r="D648" s="41">
        <f>Load_Profile_15min!H648*1000</f>
        <v/>
      </c>
    </row>
    <row r="649">
      <c r="A649" s="41">
        <f>Load_Profile_15min!F649</f>
        <v/>
      </c>
      <c r="B649" s="41">
        <f>Load_Profile_15min!G649</f>
        <v/>
      </c>
      <c r="C649" s="35">
        <f>Load_Profile_15min!H649</f>
        <v/>
      </c>
      <c r="D649" s="41">
        <f>Load_Profile_15min!H649*1000</f>
        <v/>
      </c>
    </row>
    <row r="650">
      <c r="A650" s="41">
        <f>Load_Profile_15min!F650</f>
        <v/>
      </c>
      <c r="B650" s="41">
        <f>Load_Profile_15min!G650</f>
        <v/>
      </c>
      <c r="C650" s="35">
        <f>Load_Profile_15min!H650</f>
        <v/>
      </c>
      <c r="D650" s="41">
        <f>Load_Profile_15min!H650*1000</f>
        <v/>
      </c>
    </row>
    <row r="651">
      <c r="A651" s="41">
        <f>Load_Profile_15min!F651</f>
        <v/>
      </c>
      <c r="B651" s="41">
        <f>Load_Profile_15min!G651</f>
        <v/>
      </c>
      <c r="C651" s="35">
        <f>Load_Profile_15min!H651</f>
        <v/>
      </c>
      <c r="D651" s="41">
        <f>Load_Profile_15min!H651*1000</f>
        <v/>
      </c>
    </row>
    <row r="652">
      <c r="A652" s="41">
        <f>Load_Profile_15min!F652</f>
        <v/>
      </c>
      <c r="B652" s="41">
        <f>Load_Profile_15min!G652</f>
        <v/>
      </c>
      <c r="C652" s="35">
        <f>Load_Profile_15min!H652</f>
        <v/>
      </c>
      <c r="D652" s="41">
        <f>Load_Profile_15min!H652*1000</f>
        <v/>
      </c>
    </row>
    <row r="653">
      <c r="A653" s="41">
        <f>Load_Profile_15min!F653</f>
        <v/>
      </c>
      <c r="B653" s="41">
        <f>Load_Profile_15min!G653</f>
        <v/>
      </c>
      <c r="C653" s="35">
        <f>Load_Profile_15min!H653</f>
        <v/>
      </c>
      <c r="D653" s="41">
        <f>Load_Profile_15min!H653*1000</f>
        <v/>
      </c>
    </row>
    <row r="654">
      <c r="A654" s="41">
        <f>Load_Profile_15min!F654</f>
        <v/>
      </c>
      <c r="B654" s="41">
        <f>Load_Profile_15min!G654</f>
        <v/>
      </c>
      <c r="C654" s="35">
        <f>Load_Profile_15min!H654</f>
        <v/>
      </c>
      <c r="D654" s="41">
        <f>Load_Profile_15min!H654*1000</f>
        <v/>
      </c>
    </row>
    <row r="655">
      <c r="A655" s="41">
        <f>Load_Profile_15min!F655</f>
        <v/>
      </c>
      <c r="B655" s="41">
        <f>Load_Profile_15min!G655</f>
        <v/>
      </c>
      <c r="C655" s="35">
        <f>Load_Profile_15min!H655</f>
        <v/>
      </c>
      <c r="D655" s="41">
        <f>Load_Profile_15min!H655*1000</f>
        <v/>
      </c>
    </row>
    <row r="656">
      <c r="A656" s="41">
        <f>Load_Profile_15min!F656</f>
        <v/>
      </c>
      <c r="B656" s="41">
        <f>Load_Profile_15min!G656</f>
        <v/>
      </c>
      <c r="C656" s="35">
        <f>Load_Profile_15min!H656</f>
        <v/>
      </c>
      <c r="D656" s="41">
        <f>Load_Profile_15min!H656*1000</f>
        <v/>
      </c>
    </row>
    <row r="657">
      <c r="A657" s="41">
        <f>Load_Profile_15min!F657</f>
        <v/>
      </c>
      <c r="B657" s="41">
        <f>Load_Profile_15min!G657</f>
        <v/>
      </c>
      <c r="C657" s="35">
        <f>Load_Profile_15min!H657</f>
        <v/>
      </c>
      <c r="D657" s="41">
        <f>Load_Profile_15min!H657*1000</f>
        <v/>
      </c>
    </row>
    <row r="658">
      <c r="A658" s="41">
        <f>Load_Profile_15min!F658</f>
        <v/>
      </c>
      <c r="B658" s="41">
        <f>Load_Profile_15min!G658</f>
        <v/>
      </c>
      <c r="C658" s="35">
        <f>Load_Profile_15min!H658</f>
        <v/>
      </c>
      <c r="D658" s="41">
        <f>Load_Profile_15min!H658*1000</f>
        <v/>
      </c>
    </row>
    <row r="659">
      <c r="A659" s="41">
        <f>Load_Profile_15min!F659</f>
        <v/>
      </c>
      <c r="B659" s="41">
        <f>Load_Profile_15min!G659</f>
        <v/>
      </c>
      <c r="C659" s="35">
        <f>Load_Profile_15min!H659</f>
        <v/>
      </c>
      <c r="D659" s="41">
        <f>Load_Profile_15min!H659*1000</f>
        <v/>
      </c>
    </row>
    <row r="660">
      <c r="A660" s="41">
        <f>Load_Profile_15min!F660</f>
        <v/>
      </c>
      <c r="B660" s="41">
        <f>Load_Profile_15min!G660</f>
        <v/>
      </c>
      <c r="C660" s="35">
        <f>Load_Profile_15min!H660</f>
        <v/>
      </c>
      <c r="D660" s="41">
        <f>Load_Profile_15min!H660*1000</f>
        <v/>
      </c>
    </row>
    <row r="661">
      <c r="A661" s="41">
        <f>Load_Profile_15min!F661</f>
        <v/>
      </c>
      <c r="B661" s="41">
        <f>Load_Profile_15min!G661</f>
        <v/>
      </c>
      <c r="C661" s="35">
        <f>Load_Profile_15min!H661</f>
        <v/>
      </c>
      <c r="D661" s="41">
        <f>Load_Profile_15min!H661*1000</f>
        <v/>
      </c>
    </row>
    <row r="662">
      <c r="A662" s="41">
        <f>Load_Profile_15min!F662</f>
        <v/>
      </c>
      <c r="B662" s="41">
        <f>Load_Profile_15min!G662</f>
        <v/>
      </c>
      <c r="C662" s="35">
        <f>Load_Profile_15min!H662</f>
        <v/>
      </c>
      <c r="D662" s="41">
        <f>Load_Profile_15min!H662*1000</f>
        <v/>
      </c>
    </row>
    <row r="663">
      <c r="A663" s="41">
        <f>Load_Profile_15min!F663</f>
        <v/>
      </c>
      <c r="B663" s="41">
        <f>Load_Profile_15min!G663</f>
        <v/>
      </c>
      <c r="C663" s="35">
        <f>Load_Profile_15min!H663</f>
        <v/>
      </c>
      <c r="D663" s="41">
        <f>Load_Profile_15min!H663*1000</f>
        <v/>
      </c>
    </row>
    <row r="664">
      <c r="A664" s="41">
        <f>Load_Profile_15min!F664</f>
        <v/>
      </c>
      <c r="B664" s="41">
        <f>Load_Profile_15min!G664</f>
        <v/>
      </c>
      <c r="C664" s="35">
        <f>Load_Profile_15min!H664</f>
        <v/>
      </c>
      <c r="D664" s="41">
        <f>Load_Profile_15min!H664*1000</f>
        <v/>
      </c>
    </row>
    <row r="665">
      <c r="A665" s="41">
        <f>Load_Profile_15min!F665</f>
        <v/>
      </c>
      <c r="B665" s="41">
        <f>Load_Profile_15min!G665</f>
        <v/>
      </c>
      <c r="C665" s="35">
        <f>Load_Profile_15min!H665</f>
        <v/>
      </c>
      <c r="D665" s="41">
        <f>Load_Profile_15min!H665*1000</f>
        <v/>
      </c>
    </row>
    <row r="666">
      <c r="A666" s="41">
        <f>Load_Profile_15min!F666</f>
        <v/>
      </c>
      <c r="B666" s="41">
        <f>Load_Profile_15min!G666</f>
        <v/>
      </c>
      <c r="C666" s="35">
        <f>Load_Profile_15min!H666</f>
        <v/>
      </c>
      <c r="D666" s="41">
        <f>Load_Profile_15min!H666*1000</f>
        <v/>
      </c>
    </row>
    <row r="667">
      <c r="A667" s="41">
        <f>Load_Profile_15min!F667</f>
        <v/>
      </c>
      <c r="B667" s="41">
        <f>Load_Profile_15min!G667</f>
        <v/>
      </c>
      <c r="C667" s="35">
        <f>Load_Profile_15min!H667</f>
        <v/>
      </c>
      <c r="D667" s="41">
        <f>Load_Profile_15min!H667*1000</f>
        <v/>
      </c>
    </row>
    <row r="668">
      <c r="A668" s="41">
        <f>Load_Profile_15min!F668</f>
        <v/>
      </c>
      <c r="B668" s="41">
        <f>Load_Profile_15min!G668</f>
        <v/>
      </c>
      <c r="C668" s="35">
        <f>Load_Profile_15min!H668</f>
        <v/>
      </c>
      <c r="D668" s="41">
        <f>Load_Profile_15min!H668*1000</f>
        <v/>
      </c>
    </row>
    <row r="669">
      <c r="A669" s="41">
        <f>Load_Profile_15min!F669</f>
        <v/>
      </c>
      <c r="B669" s="41">
        <f>Load_Profile_15min!G669</f>
        <v/>
      </c>
      <c r="C669" s="35">
        <f>Load_Profile_15min!H669</f>
        <v/>
      </c>
      <c r="D669" s="41">
        <f>Load_Profile_15min!H669*1000</f>
        <v/>
      </c>
    </row>
    <row r="670">
      <c r="A670" s="41">
        <f>Load_Profile_15min!F670</f>
        <v/>
      </c>
      <c r="B670" s="41">
        <f>Load_Profile_15min!G670</f>
        <v/>
      </c>
      <c r="C670" s="35">
        <f>Load_Profile_15min!H670</f>
        <v/>
      </c>
      <c r="D670" s="41">
        <f>Load_Profile_15min!H670*1000</f>
        <v/>
      </c>
    </row>
    <row r="671">
      <c r="A671" s="41">
        <f>Load_Profile_15min!F671</f>
        <v/>
      </c>
      <c r="B671" s="41">
        <f>Load_Profile_15min!G671</f>
        <v/>
      </c>
      <c r="C671" s="35">
        <f>Load_Profile_15min!H671</f>
        <v/>
      </c>
      <c r="D671" s="41">
        <f>Load_Profile_15min!H671*1000</f>
        <v/>
      </c>
    </row>
    <row r="672">
      <c r="A672" s="41">
        <f>Load_Profile_15min!F672</f>
        <v/>
      </c>
      <c r="B672" s="41">
        <f>Load_Profile_15min!G672</f>
        <v/>
      </c>
      <c r="C672" s="35">
        <f>Load_Profile_15min!H672</f>
        <v/>
      </c>
      <c r="D672" s="41">
        <f>Load_Profile_15min!H672*1000</f>
        <v/>
      </c>
    </row>
    <row r="673">
      <c r="A673" s="41">
        <f>Load_Profile_15min!F673</f>
        <v/>
      </c>
      <c r="B673" s="41">
        <f>Load_Profile_15min!G673</f>
        <v/>
      </c>
      <c r="C673" s="35">
        <f>Load_Profile_15min!H673</f>
        <v/>
      </c>
      <c r="D673" s="41">
        <f>Load_Profile_15min!H673*1000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2026-10-17T21:06:41Z</dcterms:created>
  <dcterms:modified xmlns:dcterms="http://purl.org/dc/terms/" xmlns:xsi="http://www.w3.org/2001/XMLSchema-instance" xsi:type="dcterms:W3CDTF">2026-10-17T21:10:34Z</dcterms:modified>
</cp:coreProperties>
</file>